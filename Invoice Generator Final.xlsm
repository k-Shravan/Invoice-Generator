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rav\Desktop\Projects\"/>
    </mc:Choice>
  </mc:AlternateContent>
  <xr:revisionPtr revIDLastSave="0" documentId="13_ncr:1_{53347A31-AF07-45F8-A153-6307C003807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" sheetId="1" r:id="rId1"/>
    <sheet name="Invoice Tracker" sheetId="4" r:id="rId2"/>
    <sheet name="Client List" sheetId="2" r:id="rId3"/>
    <sheet name="Product List" sheetId="3" r:id="rId4"/>
  </sheets>
  <definedNames>
    <definedName name="_xlnm._FilterDatabase" localSheetId="3" hidden="1">'Product List'!$A$1:$D$217</definedName>
    <definedName name="_xlnm.Print_Area" localSheetId="0">Invoice!$A$1:$G$41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E20" i="1" l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D2" i="3" l="1"/>
  <c r="D213" i="3"/>
  <c r="D186" i="3"/>
  <c r="D16" i="3"/>
  <c r="D158" i="3"/>
  <c r="D134" i="3"/>
  <c r="D56" i="3"/>
  <c r="D21" i="3"/>
  <c r="D37" i="3"/>
  <c r="D191" i="3"/>
  <c r="D188" i="3"/>
  <c r="D74" i="3"/>
  <c r="D173" i="3"/>
  <c r="D62" i="3"/>
  <c r="D185" i="3"/>
  <c r="D154" i="3"/>
  <c r="D32" i="3"/>
  <c r="D150" i="3"/>
  <c r="D102" i="3"/>
  <c r="D143" i="3"/>
  <c r="D145" i="3"/>
  <c r="D80" i="3"/>
  <c r="D106" i="3"/>
  <c r="D183" i="3"/>
  <c r="D203" i="3"/>
  <c r="D63" i="3"/>
  <c r="D159" i="3"/>
  <c r="D83" i="3"/>
  <c r="D112" i="3"/>
  <c r="D147" i="3"/>
  <c r="D119" i="3"/>
  <c r="D125" i="3"/>
  <c r="D202" i="3"/>
  <c r="D113" i="3"/>
  <c r="D198" i="3"/>
  <c r="D195" i="3"/>
  <c r="D100" i="3"/>
  <c r="D206" i="3"/>
  <c r="D122" i="3"/>
  <c r="D174" i="3"/>
  <c r="D66" i="3"/>
  <c r="D149" i="3"/>
  <c r="D5" i="3"/>
  <c r="D55" i="3"/>
  <c r="D167" i="3"/>
  <c r="D86" i="3"/>
  <c r="D18" i="3"/>
  <c r="D20" i="3"/>
  <c r="D17" i="3"/>
  <c r="D133" i="3"/>
  <c r="D164" i="3"/>
  <c r="D140" i="3"/>
  <c r="D92" i="3"/>
  <c r="D166" i="3"/>
  <c r="D132" i="3"/>
  <c r="D189" i="3"/>
  <c r="D48" i="3"/>
  <c r="D95" i="3"/>
  <c r="D208" i="3"/>
  <c r="D34" i="3"/>
  <c r="D120" i="3"/>
  <c r="D139" i="3"/>
  <c r="D114" i="3"/>
  <c r="D7" i="3"/>
  <c r="D127" i="3"/>
  <c r="D23" i="3"/>
  <c r="D108" i="3"/>
  <c r="D15" i="3"/>
  <c r="D89" i="3"/>
  <c r="D14" i="3"/>
  <c r="D115" i="3"/>
  <c r="D11" i="3"/>
  <c r="D187" i="3"/>
  <c r="D190" i="3"/>
  <c r="D111" i="3"/>
  <c r="D94" i="3"/>
  <c r="D107" i="3"/>
  <c r="D152" i="3"/>
  <c r="D73" i="3"/>
  <c r="D91" i="3"/>
  <c r="D196" i="3"/>
  <c r="D26" i="3"/>
  <c r="D138" i="3"/>
  <c r="D177" i="3"/>
  <c r="D43" i="3"/>
  <c r="D98" i="3"/>
  <c r="D38" i="3"/>
  <c r="D44" i="3"/>
  <c r="D97" i="3"/>
  <c r="D46" i="3"/>
  <c r="D192" i="3"/>
  <c r="D214" i="3"/>
  <c r="D67" i="3"/>
  <c r="D146" i="3"/>
  <c r="D52" i="3"/>
  <c r="D51" i="3"/>
  <c r="D205" i="3"/>
  <c r="D116" i="3"/>
  <c r="D121" i="3"/>
  <c r="D123" i="3"/>
  <c r="D156" i="3"/>
  <c r="D105" i="3"/>
  <c r="D199" i="3"/>
  <c r="D104" i="3"/>
  <c r="D6" i="3"/>
  <c r="D144" i="3"/>
  <c r="D40" i="3"/>
  <c r="D64" i="3"/>
  <c r="D72" i="3"/>
  <c r="D79" i="3"/>
  <c r="D54" i="3"/>
  <c r="D39" i="3"/>
  <c r="D141" i="3"/>
  <c r="D8" i="3"/>
  <c r="D178" i="3"/>
  <c r="D176" i="3"/>
  <c r="D175" i="3"/>
  <c r="D88" i="3"/>
  <c r="D30" i="3"/>
  <c r="D153" i="3"/>
  <c r="D29" i="3"/>
  <c r="D165" i="3"/>
  <c r="D85" i="3"/>
  <c r="D10" i="3"/>
  <c r="D71" i="3"/>
  <c r="D118" i="3"/>
  <c r="D169" i="3"/>
  <c r="D36" i="3"/>
  <c r="D151" i="3"/>
  <c r="D65" i="3"/>
  <c r="D77" i="3"/>
  <c r="D163" i="3"/>
  <c r="D19" i="3"/>
  <c r="D170" i="3"/>
  <c r="D148" i="3"/>
  <c r="D57" i="3"/>
  <c r="D142" i="3"/>
  <c r="D179" i="3"/>
  <c r="D41" i="3"/>
  <c r="D61" i="3"/>
  <c r="D168" i="3"/>
  <c r="D201" i="3"/>
  <c r="D53" i="3"/>
  <c r="D75" i="3"/>
  <c r="D9" i="3"/>
  <c r="D193" i="3"/>
  <c r="D78" i="3"/>
  <c r="D126" i="3"/>
  <c r="D124" i="3"/>
  <c r="D204" i="3"/>
  <c r="D162" i="3"/>
  <c r="D181" i="3"/>
  <c r="D101" i="3"/>
  <c r="D103" i="3"/>
  <c r="D216" i="3"/>
  <c r="D135" i="3"/>
  <c r="D24" i="3"/>
  <c r="D33" i="3"/>
  <c r="D171" i="3"/>
  <c r="D99" i="3"/>
  <c r="D93" i="3"/>
  <c r="D209" i="3"/>
  <c r="D68" i="3"/>
  <c r="D87" i="3"/>
  <c r="D184" i="3"/>
  <c r="D22" i="3"/>
  <c r="D45" i="3"/>
  <c r="D84" i="3"/>
  <c r="D109" i="3"/>
  <c r="D81" i="3"/>
  <c r="D110" i="3"/>
  <c r="D76" i="3"/>
  <c r="D82" i="3"/>
  <c r="D217" i="3"/>
  <c r="D182" i="3"/>
  <c r="D200" i="3"/>
  <c r="D210" i="3"/>
  <c r="D28" i="3"/>
  <c r="D131" i="3"/>
  <c r="D136" i="3"/>
  <c r="D215" i="3"/>
  <c r="D59" i="3"/>
  <c r="D207" i="3"/>
  <c r="D157" i="3"/>
  <c r="D12" i="3"/>
  <c r="D155" i="3"/>
  <c r="D211" i="3"/>
  <c r="D128" i="3"/>
  <c r="D35" i="3"/>
  <c r="D96" i="3"/>
  <c r="D25" i="3"/>
  <c r="D58" i="3"/>
  <c r="D180" i="3"/>
  <c r="D3" i="3"/>
  <c r="D212" i="3"/>
  <c r="D161" i="3"/>
  <c r="D4" i="3"/>
  <c r="D70" i="3"/>
  <c r="D117" i="3"/>
  <c r="D60" i="3"/>
  <c r="D90" i="3"/>
  <c r="D160" i="3"/>
  <c r="D42" i="3"/>
  <c r="D69" i="3"/>
  <c r="D49" i="3"/>
  <c r="D130" i="3"/>
  <c r="D50" i="3"/>
  <c r="D197" i="3"/>
  <c r="D13" i="3"/>
  <c r="D47" i="3"/>
  <c r="D31" i="3"/>
  <c r="D194" i="3"/>
  <c r="D172" i="3"/>
  <c r="D129" i="3"/>
  <c r="D27" i="3"/>
  <c r="D137" i="3"/>
  <c r="B13" i="1" l="1"/>
  <c r="D15" i="1"/>
  <c r="D14" i="1"/>
  <c r="D12" i="1"/>
  <c r="B16" i="1"/>
  <c r="B15" i="1"/>
  <c r="B14" i="1"/>
  <c r="C20" i="1"/>
  <c r="C21" i="1" l="1"/>
  <c r="C22" i="1"/>
  <c r="C23" i="1"/>
  <c r="C24" i="1"/>
  <c r="C25" i="1"/>
  <c r="C26" i="1"/>
  <c r="C27" i="1"/>
  <c r="C28" i="1"/>
  <c r="C29" i="1"/>
  <c r="C30" i="1"/>
  <c r="F5" i="1"/>
  <c r="F9" i="1" s="1"/>
  <c r="F31" i="1" l="1"/>
  <c r="F34" i="1" s="1"/>
</calcChain>
</file>

<file path=xl/sharedStrings.xml><?xml version="1.0" encoding="utf-8"?>
<sst xmlns="http://schemas.openxmlformats.org/spreadsheetml/2006/main" count="949" uniqueCount="947">
  <si>
    <t xml:space="preserve"> INVOICE</t>
  </si>
  <si>
    <t>&lt;Your Logo&gt;</t>
  </si>
  <si>
    <t>DATE</t>
  </si>
  <si>
    <t>INVOICE NO.</t>
  </si>
  <si>
    <t>BILL TO</t>
  </si>
  <si>
    <t>SHIP TO</t>
  </si>
  <si>
    <t>QTY</t>
  </si>
  <si>
    <t>UNIT PRICE</t>
  </si>
  <si>
    <t>TOTAL</t>
  </si>
  <si>
    <t>Remarks / Payment Instructions:</t>
  </si>
  <si>
    <t>SUBTOTAL</t>
  </si>
  <si>
    <t>DISCOUNT</t>
  </si>
  <si>
    <t>Balance Due</t>
  </si>
  <si>
    <t>GST</t>
  </si>
  <si>
    <t>THANK YOU FOR YOUR BUSINESS!</t>
  </si>
  <si>
    <t>Contact Name</t>
  </si>
  <si>
    <t>Shipping Name</t>
  </si>
  <si>
    <t>Company Name</t>
  </si>
  <si>
    <t>Company Phone</t>
  </si>
  <si>
    <t>Shipping Phone</t>
  </si>
  <si>
    <t>Email</t>
  </si>
  <si>
    <t>James Butt</t>
  </si>
  <si>
    <t>Benton, John B Jr Warehouse</t>
  </si>
  <si>
    <t>Benton, John B Jr</t>
  </si>
  <si>
    <t>6649 N Blue Gum St New Orleans Orleans LA 70116</t>
  </si>
  <si>
    <t>504-621-8927</t>
  </si>
  <si>
    <t>504-845-1427</t>
  </si>
  <si>
    <t>jbutt@gmail.com</t>
  </si>
  <si>
    <t>Josephine Darakjy</t>
  </si>
  <si>
    <t>Chanay, Jeffrey A Esq Warehouse</t>
  </si>
  <si>
    <t>Chanay, Jeffrey A Esq</t>
  </si>
  <si>
    <t>4 B Blue Ridge Blvd Brighton Livingston MI 48116</t>
  </si>
  <si>
    <t>810-292-9388</t>
  </si>
  <si>
    <t>810-374-9840</t>
  </si>
  <si>
    <t>josephine_darakjy@darakjy.org</t>
  </si>
  <si>
    <t>Art Venere</t>
  </si>
  <si>
    <t>Chemel, James L Cpa Warehouse</t>
  </si>
  <si>
    <t>Chemel, James L Cpa</t>
  </si>
  <si>
    <t>8 W Cerritos Ave #54 Bridgeport Gloucester NJ 8014</t>
  </si>
  <si>
    <t>856-636-8749</t>
  </si>
  <si>
    <t>856-264-4130</t>
  </si>
  <si>
    <t>art@venere.org</t>
  </si>
  <si>
    <t>Lenna Paprocki</t>
  </si>
  <si>
    <t>Feltz Printing Service Warehouse</t>
  </si>
  <si>
    <t>Feltz Printing Service</t>
  </si>
  <si>
    <t>639 Main St Anchorage Anchorage AK 99501</t>
  </si>
  <si>
    <t>907-385-4412</t>
  </si>
  <si>
    <t>907-921-2010</t>
  </si>
  <si>
    <t>lpaprocki@hotmail.com</t>
  </si>
  <si>
    <t>Donette Foller</t>
  </si>
  <si>
    <t>Printing Dimensions Warehouse</t>
  </si>
  <si>
    <t>Printing Dimensions</t>
  </si>
  <si>
    <t>34 Center St Hamilton Butler OH 45011</t>
  </si>
  <si>
    <t>513-570-1893</t>
  </si>
  <si>
    <t>513-549-4561</t>
  </si>
  <si>
    <t>donette.foller@cox.net</t>
  </si>
  <si>
    <t>Simona Morasca</t>
  </si>
  <si>
    <t>Chapman, Ross E Esq Warehouse</t>
  </si>
  <si>
    <t>Chapman, Ross E Esq</t>
  </si>
  <si>
    <t>3 Mcauley Dr Ashland Ashland OH 44805</t>
  </si>
  <si>
    <t>419-503-2484</t>
  </si>
  <si>
    <t>419-800-6759</t>
  </si>
  <si>
    <t>simona@morasca.com</t>
  </si>
  <si>
    <t>Mitsue Tollner</t>
  </si>
  <si>
    <t>Morlong Associates Warehouse</t>
  </si>
  <si>
    <t>Morlong Associates</t>
  </si>
  <si>
    <t>7 Eads St Chicago Cook IL 60632</t>
  </si>
  <si>
    <t>773-573-6914</t>
  </si>
  <si>
    <t>773-924-8565</t>
  </si>
  <si>
    <t>mitsue_tollner@yahoo.com</t>
  </si>
  <si>
    <t>Leota Dilliard</t>
  </si>
  <si>
    <t>Commercial Press Warehouse</t>
  </si>
  <si>
    <t>Commercial Press</t>
  </si>
  <si>
    <t>7 W Jackson Blvd San Jose Santa Clara CA 95111</t>
  </si>
  <si>
    <t>408-752-3500</t>
  </si>
  <si>
    <t>408-813-1105</t>
  </si>
  <si>
    <t>leota@hotmail.com</t>
  </si>
  <si>
    <t>Sage Wieser</t>
  </si>
  <si>
    <t>Truhlar And Truhlar Attys Warehouse</t>
  </si>
  <si>
    <t>Truhlar And Truhlar Attys</t>
  </si>
  <si>
    <t>5 Boston Ave #88 Sioux Falls Minnehaha SD 57105</t>
  </si>
  <si>
    <t>605-414-2147</t>
  </si>
  <si>
    <t>605-794-4895</t>
  </si>
  <si>
    <t>sage_wieser@cox.net</t>
  </si>
  <si>
    <t>Kris Marrier</t>
  </si>
  <si>
    <t>King, Christopher A Esq Warehouse</t>
  </si>
  <si>
    <t>King, Christopher A Esq</t>
  </si>
  <si>
    <t>228 Runamuck Pl #2808 Baltimore Baltimore City MD 21224</t>
  </si>
  <si>
    <t>410-655-8723</t>
  </si>
  <si>
    <t>410-804-4694</t>
  </si>
  <si>
    <t>kris@gmail.com</t>
  </si>
  <si>
    <t>Minna Amigon</t>
  </si>
  <si>
    <t>Dorl, James J Esq Warehouse</t>
  </si>
  <si>
    <t>Dorl, James J Esq</t>
  </si>
  <si>
    <t>2371 Jerrold Ave Kulpsville Montgomery PA 19443</t>
  </si>
  <si>
    <t>215-874-1229</t>
  </si>
  <si>
    <t>215-422-8694</t>
  </si>
  <si>
    <t>minna_amigon@yahoo.com</t>
  </si>
  <si>
    <t>Abel Maclead</t>
  </si>
  <si>
    <t>Rangoni Of Florence Warehouse</t>
  </si>
  <si>
    <t>Rangoni Of Florence</t>
  </si>
  <si>
    <t>37275 St  Rt 17m M Middle Island Suffolk NY 11953</t>
  </si>
  <si>
    <t>631-335-3414</t>
  </si>
  <si>
    <t>631-677-3675</t>
  </si>
  <si>
    <t>amaclead@gmail.com</t>
  </si>
  <si>
    <t>Kiley Caldarera</t>
  </si>
  <si>
    <t>Feiner Bros Warehouse</t>
  </si>
  <si>
    <t>Feiner Bros</t>
  </si>
  <si>
    <t>25 E 75th St #69 Los Angeles Los Angeles CA 90034</t>
  </si>
  <si>
    <t>310-498-5651</t>
  </si>
  <si>
    <t>310-254-3084</t>
  </si>
  <si>
    <t>kiley.caldarera@aol.com</t>
  </si>
  <si>
    <t>Graciela Ruta</t>
  </si>
  <si>
    <t>Buckley Miller &amp; Wright Warehouse</t>
  </si>
  <si>
    <t>Buckley Miller &amp; Wright</t>
  </si>
  <si>
    <t>98 Connecticut Ave Nw Chagrin Falls Geauga OH 44023</t>
  </si>
  <si>
    <t>440-780-8425</t>
  </si>
  <si>
    <t>440-579-7763</t>
  </si>
  <si>
    <t>gruta@cox.net</t>
  </si>
  <si>
    <t>Cammy Albares</t>
  </si>
  <si>
    <t>Rousseaux, Michael Esq Warehouse</t>
  </si>
  <si>
    <t>Rousseaux, Michael Esq</t>
  </si>
  <si>
    <t>56 E Morehead St Laredo Webb TX 78045</t>
  </si>
  <si>
    <t>956-537-6195</t>
  </si>
  <si>
    <t>956-841-7216</t>
  </si>
  <si>
    <t>calbares@gmail.com</t>
  </si>
  <si>
    <t>Mattie Poquette</t>
  </si>
  <si>
    <t>Century Communications Warehouse</t>
  </si>
  <si>
    <t>Century Communications</t>
  </si>
  <si>
    <t>73 State Road 434 E Phoenix Maricopa AZ 85013</t>
  </si>
  <si>
    <t>602-277-4385</t>
  </si>
  <si>
    <t>602-953-6360</t>
  </si>
  <si>
    <t>mattie@aol.com</t>
  </si>
  <si>
    <t>Meaghan Garufi</t>
  </si>
  <si>
    <t>Bolton, Wilbur Esq Warehouse</t>
  </si>
  <si>
    <t>Bolton, Wilbur Esq</t>
  </si>
  <si>
    <t>69734 E Carrillo St Mc Minnville Warren TN 37110</t>
  </si>
  <si>
    <t>931-313-9635</t>
  </si>
  <si>
    <t>931-235-7959</t>
  </si>
  <si>
    <t>meaghan@hotmail.com</t>
  </si>
  <si>
    <t>Gladys Rim</t>
  </si>
  <si>
    <t>T M Byxbee Company Pc Warehouse</t>
  </si>
  <si>
    <t>T M Byxbee Company Pc</t>
  </si>
  <si>
    <t>322 New Horizon Blvd Milwaukee Milwaukee WI 53207</t>
  </si>
  <si>
    <t>414-661-9598</t>
  </si>
  <si>
    <t>414-377-2880</t>
  </si>
  <si>
    <t>gladys.rim@rim.org</t>
  </si>
  <si>
    <t>Yuki Whobrey</t>
  </si>
  <si>
    <t>Farmers Insurance Group Warehouse</t>
  </si>
  <si>
    <t>Farmers Insurance Group</t>
  </si>
  <si>
    <t>1 State Route 27 Taylor Wayne MI 48180</t>
  </si>
  <si>
    <t>313-288-7937</t>
  </si>
  <si>
    <t>313-341-4470</t>
  </si>
  <si>
    <t>yuki_whobrey@aol.com</t>
  </si>
  <si>
    <t>Fletcher Flosi</t>
  </si>
  <si>
    <t>Post Box Services Plus Warehouse</t>
  </si>
  <si>
    <t>Post Box Services Plus</t>
  </si>
  <si>
    <t>394 Manchester Blvd Rockford Winnebago IL 61109</t>
  </si>
  <si>
    <t>815-828-2147</t>
  </si>
  <si>
    <t>815-426-5657</t>
  </si>
  <si>
    <t>fletcher.flosi@yahoo.com</t>
  </si>
  <si>
    <t>Bette Nicka</t>
  </si>
  <si>
    <t>Sport En Art Warehouse</t>
  </si>
  <si>
    <t>Sport En Art</t>
  </si>
  <si>
    <t>6 S 33rd St Aston Delaware PA 19014</t>
  </si>
  <si>
    <t>610-545-3615</t>
  </si>
  <si>
    <t>610-492-4643</t>
  </si>
  <si>
    <t>bette_nicka@cox.net</t>
  </si>
  <si>
    <t>Veronika Inouye</t>
  </si>
  <si>
    <t>C 4 Network Inc Warehouse</t>
  </si>
  <si>
    <t>C 4 Network Inc</t>
  </si>
  <si>
    <t>6 Greenleaf Ave San Jose Santa Clara CA 95111</t>
  </si>
  <si>
    <t>408-540-1785</t>
  </si>
  <si>
    <t>408-813-4592</t>
  </si>
  <si>
    <t>vinouye@aol.com</t>
  </si>
  <si>
    <t>Willard Kolmetz</t>
  </si>
  <si>
    <t>Ingalls, Donald R Esq Warehouse</t>
  </si>
  <si>
    <t>Ingalls, Donald R Esq</t>
  </si>
  <si>
    <t>618 W Yakima Ave Irving Dallas TX 75062</t>
  </si>
  <si>
    <t>972-303-9197</t>
  </si>
  <si>
    <t>972-896-4882</t>
  </si>
  <si>
    <t>willard@hotmail.com</t>
  </si>
  <si>
    <t>Maryann Royster</t>
  </si>
  <si>
    <t>Franklin, Peter L Esq Warehouse</t>
  </si>
  <si>
    <t>Franklin, Peter L Esq</t>
  </si>
  <si>
    <t>74 S Westgate St Albany Albany NY 12204</t>
  </si>
  <si>
    <t>518-966-7987</t>
  </si>
  <si>
    <t>518-448-8982</t>
  </si>
  <si>
    <t>mroyster@royster.com</t>
  </si>
  <si>
    <t>Alisha Slusarski</t>
  </si>
  <si>
    <t>Wtlz Power 107 Fm Warehouse</t>
  </si>
  <si>
    <t>Wtlz Power 107 Fm</t>
  </si>
  <si>
    <t>3273 State St Middlesex Middlesex NJ 8846</t>
  </si>
  <si>
    <t>732-658-3154</t>
  </si>
  <si>
    <t>732-635-3453</t>
  </si>
  <si>
    <t>alisha@slusarski.com</t>
  </si>
  <si>
    <t>Allene Iturbide</t>
  </si>
  <si>
    <t>Ledecky, David Esq Warehouse</t>
  </si>
  <si>
    <t>Ledecky, David Esq</t>
  </si>
  <si>
    <t>1 Central Ave Stevens Point Portage WI 54481</t>
  </si>
  <si>
    <t>715-662-6764</t>
  </si>
  <si>
    <t>715-530-9863</t>
  </si>
  <si>
    <t>allene_iturbide@cox.net</t>
  </si>
  <si>
    <t>Chanel Caudy</t>
  </si>
  <si>
    <t>Professional Image Inc Warehouse</t>
  </si>
  <si>
    <t>Professional Image Inc</t>
  </si>
  <si>
    <t>86 Nw 66th St #8673 Shawnee Johnson KS 66218</t>
  </si>
  <si>
    <t>913-388-2079</t>
  </si>
  <si>
    <t>913-899-1103</t>
  </si>
  <si>
    <t>chanel.caudy@caudy.org</t>
  </si>
  <si>
    <t>Ezekiel Chui</t>
  </si>
  <si>
    <t>Sider, Donald C Esq Warehouse</t>
  </si>
  <si>
    <t>Sider, Donald C Esq</t>
  </si>
  <si>
    <t>2 Cedar Ave #84 Easton Talbot MD 21601</t>
  </si>
  <si>
    <t>410-669-1642</t>
  </si>
  <si>
    <t>410-235-8738</t>
  </si>
  <si>
    <t>ezekiel@chui.com</t>
  </si>
  <si>
    <t>Willow Kusko</t>
  </si>
  <si>
    <t>U Pull It Warehouse</t>
  </si>
  <si>
    <t>U Pull It</t>
  </si>
  <si>
    <t>90991 Thorburn Ave New York New York NY 10011</t>
  </si>
  <si>
    <t>212-582-4976</t>
  </si>
  <si>
    <t>212-934-5167</t>
  </si>
  <si>
    <t>wkusko@yahoo.com</t>
  </si>
  <si>
    <t>Bernardo Figeroa</t>
  </si>
  <si>
    <t>Clark, Richard Cpa Warehouse</t>
  </si>
  <si>
    <t>Clark, Richard Cpa</t>
  </si>
  <si>
    <t>386 9th Ave N Conroe Montgomery TX 77301</t>
  </si>
  <si>
    <t>936-336-3951</t>
  </si>
  <si>
    <t>936-597-3614</t>
  </si>
  <si>
    <t>bfigeroa@aol.com</t>
  </si>
  <si>
    <t>Ammie Corrio</t>
  </si>
  <si>
    <t>Moskowitz, Barry S Warehouse</t>
  </si>
  <si>
    <t>Moskowitz, Barry S</t>
  </si>
  <si>
    <t>74874 Atlantic Ave Columbus Franklin OH 43215</t>
  </si>
  <si>
    <t>614-801-9788</t>
  </si>
  <si>
    <t>614-648-3265</t>
  </si>
  <si>
    <t>ammie@corrio.com</t>
  </si>
  <si>
    <t>Francine Vocelka</t>
  </si>
  <si>
    <t>Cascade Realty Advisors Inc Warehouse</t>
  </si>
  <si>
    <t>Cascade Realty Advisors Inc</t>
  </si>
  <si>
    <t>366 South Dr Las Cruces Dona Ana NM 88011</t>
  </si>
  <si>
    <t>505-977-3911</t>
  </si>
  <si>
    <t>505-335-5293</t>
  </si>
  <si>
    <t>francine_vocelka@vocelka.com</t>
  </si>
  <si>
    <t>Ernie Stenseth</t>
  </si>
  <si>
    <t>Knwz Newsradio Warehouse</t>
  </si>
  <si>
    <t>Knwz Newsradio</t>
  </si>
  <si>
    <t>45 E Liberty St Ridgefield Park Bergen NJ 7660</t>
  </si>
  <si>
    <t>201-709-6245</t>
  </si>
  <si>
    <t>201-387-9093</t>
  </si>
  <si>
    <t>ernie_stenseth@aol.com</t>
  </si>
  <si>
    <t>Albina Glick</t>
  </si>
  <si>
    <t>Giampetro, Anthony D Warehouse</t>
  </si>
  <si>
    <t>Giampetro, Anthony D</t>
  </si>
  <si>
    <t>4 Ralph Ct Dunellen Middlesex NJ 8812</t>
  </si>
  <si>
    <t>732-924-7882</t>
  </si>
  <si>
    <t>732-782-6701</t>
  </si>
  <si>
    <t>albina@glick.com</t>
  </si>
  <si>
    <t>Alishia Sergi</t>
  </si>
  <si>
    <t>Milford Enterprises Inc Warehouse</t>
  </si>
  <si>
    <t>Milford Enterprises Inc</t>
  </si>
  <si>
    <t>2742 Distribution Way New York New York NY 10025</t>
  </si>
  <si>
    <t>212-860-1579</t>
  </si>
  <si>
    <t>212-753-2740</t>
  </si>
  <si>
    <t>asergi@gmail.com</t>
  </si>
  <si>
    <t>Solange Shinko</t>
  </si>
  <si>
    <t>Mosocco, Ronald A Warehouse</t>
  </si>
  <si>
    <t>Mosocco, Ronald A</t>
  </si>
  <si>
    <t>426 Wolf St Metairie Jefferson LA 70002</t>
  </si>
  <si>
    <t>504-979-9175</t>
  </si>
  <si>
    <t>504-265-8174</t>
  </si>
  <si>
    <t>solange@shinko.com</t>
  </si>
  <si>
    <t>Jose Stockham</t>
  </si>
  <si>
    <t>Tri State Refueler Co Warehouse</t>
  </si>
  <si>
    <t>Tri State Refueler Co</t>
  </si>
  <si>
    <t>128 Bransten Rd New York New York NY 10011</t>
  </si>
  <si>
    <t>212-675-8570</t>
  </si>
  <si>
    <t>212-569-4233</t>
  </si>
  <si>
    <t>jose@yahoo.com</t>
  </si>
  <si>
    <t>Rozella Ostrosky</t>
  </si>
  <si>
    <t>Parkway Company Warehouse</t>
  </si>
  <si>
    <t>Parkway Company</t>
  </si>
  <si>
    <t>17 Morena Blvd Camarillo Ventura CA 93012</t>
  </si>
  <si>
    <t>805-832-6163</t>
  </si>
  <si>
    <t>805-609-1531</t>
  </si>
  <si>
    <t>rozella.ostrosky@ostrosky.com</t>
  </si>
  <si>
    <t>Valentine Gillian</t>
  </si>
  <si>
    <t>Fbs Business Finance Warehouse</t>
  </si>
  <si>
    <t>Fbs Business Finance</t>
  </si>
  <si>
    <t>775 W 17th St San Antonio Bexar TX 78204</t>
  </si>
  <si>
    <t>210-812-9597</t>
  </si>
  <si>
    <t>210-300-6244</t>
  </si>
  <si>
    <t>valentine_gillian@gmail.com</t>
  </si>
  <si>
    <t>Kati Rulapaugh</t>
  </si>
  <si>
    <t>Eder Assocs Consltng Engrs Pc Warehouse</t>
  </si>
  <si>
    <t>Eder Assocs Consltng Engrs Pc</t>
  </si>
  <si>
    <t>6980 Dorsett Rd Abilene Dickinson KS 67410</t>
  </si>
  <si>
    <t>785-463-7829</t>
  </si>
  <si>
    <t>785-219-7724</t>
  </si>
  <si>
    <t>kati.rulapaugh@hotmail.com</t>
  </si>
  <si>
    <t>Youlanda Schemmer</t>
  </si>
  <si>
    <t>Tri M Tool Inc Warehouse</t>
  </si>
  <si>
    <t>Tri M Tool Inc</t>
  </si>
  <si>
    <t>2881 Lewis Rd Prineville Crook OR 97754</t>
  </si>
  <si>
    <t>541-548-8197</t>
  </si>
  <si>
    <t>541-993-2611</t>
  </si>
  <si>
    <t>youlanda@aol.com</t>
  </si>
  <si>
    <t>Dyan Oldroyd</t>
  </si>
  <si>
    <t>International Eyelets Inc Warehouse</t>
  </si>
  <si>
    <t>International Eyelets Inc</t>
  </si>
  <si>
    <t>7219 Woodfield Rd Overland Park Johnson KS 66204</t>
  </si>
  <si>
    <t>913-413-4604</t>
  </si>
  <si>
    <t>913-645-8918</t>
  </si>
  <si>
    <t>doldroyd@aol.com</t>
  </si>
  <si>
    <t>Roxane Campain</t>
  </si>
  <si>
    <t>Rapid Trading Intl Warehouse</t>
  </si>
  <si>
    <t>Rapid Trading Intl</t>
  </si>
  <si>
    <t>1048 Main St Fairbanks Fairbanks North Star AK 99708</t>
  </si>
  <si>
    <t>907-231-4722</t>
  </si>
  <si>
    <t>907-335-6568</t>
  </si>
  <si>
    <t>roxane@hotmail.com</t>
  </si>
  <si>
    <t>Lavera Perin</t>
  </si>
  <si>
    <t>Abc Enterprises Inc Warehouse</t>
  </si>
  <si>
    <t>Abc Enterprises Inc</t>
  </si>
  <si>
    <t>678 3rd Ave Miami Miami-Dade FL 33196</t>
  </si>
  <si>
    <t>305-606-7291</t>
  </si>
  <si>
    <t>305-995-2078</t>
  </si>
  <si>
    <t>lperin@perin.org</t>
  </si>
  <si>
    <t>Erick Ferencz</t>
  </si>
  <si>
    <t>Cindy Turner Associates Warehouse</t>
  </si>
  <si>
    <t>Cindy Turner Associates</t>
  </si>
  <si>
    <t>20 S Babcock St Fairbanks Fairbanks North Star AK 99712</t>
  </si>
  <si>
    <t>907-741-1044</t>
  </si>
  <si>
    <t>907-227-6777</t>
  </si>
  <si>
    <t>erick.ferencz@aol.com</t>
  </si>
  <si>
    <t>Fatima Saylors</t>
  </si>
  <si>
    <t>Stanton, James D Esq Warehouse</t>
  </si>
  <si>
    <t>Stanton, James D Esq</t>
  </si>
  <si>
    <t>2 Lighthouse Ave Hopkins Hennepin MN 55343</t>
  </si>
  <si>
    <t>952-768-2416</t>
  </si>
  <si>
    <t>952-479-2375</t>
  </si>
  <si>
    <t>fsaylors@saylors.org</t>
  </si>
  <si>
    <t>Jina Briddick</t>
  </si>
  <si>
    <t>Grace Pastries Inc Warehouse</t>
  </si>
  <si>
    <t>Grace Pastries Inc</t>
  </si>
  <si>
    <t>38938 Park Blvd Boston Suffolk MA 2128</t>
  </si>
  <si>
    <t>617-399-5124</t>
  </si>
  <si>
    <t>617-997-5771</t>
  </si>
  <si>
    <t>jina_briddick@briddick.com</t>
  </si>
  <si>
    <t>Kanisha Waycott</t>
  </si>
  <si>
    <t>Schroer, Gene E Esq Warehouse</t>
  </si>
  <si>
    <t>Schroer, Gene E Esq</t>
  </si>
  <si>
    <t>5 Tomahawk Dr Los Angeles Los Angeles CA 90006</t>
  </si>
  <si>
    <t>323-453-2780</t>
  </si>
  <si>
    <t>323-315-7314</t>
  </si>
  <si>
    <t>kanisha_waycott@yahoo.com</t>
  </si>
  <si>
    <t>Emerson Bowley</t>
  </si>
  <si>
    <t>Knights Inn Warehouse</t>
  </si>
  <si>
    <t>Knights Inn</t>
  </si>
  <si>
    <t>762 S Main St Madison Dane WI 53711</t>
  </si>
  <si>
    <t>608-336-7444</t>
  </si>
  <si>
    <t>608-658-7940</t>
  </si>
  <si>
    <t>emerson.bowley@bowley.org</t>
  </si>
  <si>
    <t>Blair Malet</t>
  </si>
  <si>
    <t>Bollinger Mach Shp &amp; Shipyard Warehouse</t>
  </si>
  <si>
    <t>Bollinger Mach Shp &amp; Shipyard</t>
  </si>
  <si>
    <t>209 Decker Dr Philadelphia Philadelphia PA 19132</t>
  </si>
  <si>
    <t>215-907-9111</t>
  </si>
  <si>
    <t>215-794-4519</t>
  </si>
  <si>
    <t>bmalet@yahoo.com</t>
  </si>
  <si>
    <t>Brock Bolognia</t>
  </si>
  <si>
    <t>Orinda News Warehouse</t>
  </si>
  <si>
    <t>Orinda News</t>
  </si>
  <si>
    <t>4486 W O St #1 New York New York NY 10003</t>
  </si>
  <si>
    <t>212-402-9216</t>
  </si>
  <si>
    <t>212-617-5063</t>
  </si>
  <si>
    <t>bbolognia@yahoo.com</t>
  </si>
  <si>
    <t>Lorrie Nestle</t>
  </si>
  <si>
    <t>Ballard Spahr Andrews Warehouse</t>
  </si>
  <si>
    <t>Ballard Spahr Andrews</t>
  </si>
  <si>
    <t>39 S 7th St Tullahoma Coffee TN 37388</t>
  </si>
  <si>
    <t>931-875-6644</t>
  </si>
  <si>
    <t>931-303-6041</t>
  </si>
  <si>
    <t>lnestle@hotmail.com</t>
  </si>
  <si>
    <t>Sabra Uyetake</t>
  </si>
  <si>
    <t>Lowy Limousine Service Warehouse</t>
  </si>
  <si>
    <t>Lowy Limousine Service</t>
  </si>
  <si>
    <t>98839 Hawthorne Blvd #6101 Columbia Richland SC 29201</t>
  </si>
  <si>
    <t>803-925-5213</t>
  </si>
  <si>
    <t>803-681-3678</t>
  </si>
  <si>
    <t>sabra@uyetake.org</t>
  </si>
  <si>
    <t>Marjory Mastella</t>
  </si>
  <si>
    <t>Vicon Corporation Warehouse</t>
  </si>
  <si>
    <t>Vicon Corporation</t>
  </si>
  <si>
    <t>71 San Mateo Ave Wayne Delaware PA 19087</t>
  </si>
  <si>
    <t>610-814-5533</t>
  </si>
  <si>
    <t>610-379-7125</t>
  </si>
  <si>
    <t>mmastella@mastella.com</t>
  </si>
  <si>
    <t>Karl Klonowski</t>
  </si>
  <si>
    <t>Rossi, Michael M Warehouse</t>
  </si>
  <si>
    <t>Rossi, Michael M</t>
  </si>
  <si>
    <t>76 Brooks St #9 Flemington Hunterdon NJ 8822</t>
  </si>
  <si>
    <t>908-877-6135</t>
  </si>
  <si>
    <t>908-470-4661</t>
  </si>
  <si>
    <t>karl_klonowski@yahoo.com</t>
  </si>
  <si>
    <t>Tonette Wenner</t>
  </si>
  <si>
    <t>Northwest Publishing Warehouse</t>
  </si>
  <si>
    <t>Northwest Publishing</t>
  </si>
  <si>
    <t>4545 Courthouse Rd Westbury Nassau NY 11590</t>
  </si>
  <si>
    <t>516-968-6051</t>
  </si>
  <si>
    <t>516-333-4861</t>
  </si>
  <si>
    <t>twenner@aol.com</t>
  </si>
  <si>
    <t>Amber Monarrez</t>
  </si>
  <si>
    <t>Branford Wire &amp; Mfg Co Warehouse</t>
  </si>
  <si>
    <t>Branford Wire &amp; Mfg Co</t>
  </si>
  <si>
    <t>14288 Foster Ave #4121 Jenkintown Montgomery PA 19046</t>
  </si>
  <si>
    <t>215-934-8655</t>
  </si>
  <si>
    <t>215-329-6386</t>
  </si>
  <si>
    <t>amber_monarrez@monarrez.org</t>
  </si>
  <si>
    <t>Shenika Seewald</t>
  </si>
  <si>
    <t>East Coast Marketing Warehouse</t>
  </si>
  <si>
    <t>East Coast Marketing</t>
  </si>
  <si>
    <t>4 Otis St Van Nuys Los Angeles CA 91405</t>
  </si>
  <si>
    <t>818-423-4007</t>
  </si>
  <si>
    <t>818-749-8650</t>
  </si>
  <si>
    <t>shenika@gmail.com</t>
  </si>
  <si>
    <t>Delmy Ahle</t>
  </si>
  <si>
    <t>Wye Technologies Inc Warehouse</t>
  </si>
  <si>
    <t>Wye Technologies Inc</t>
  </si>
  <si>
    <t>65895 S 16th St Providence Providence RI 2909</t>
  </si>
  <si>
    <t>401-458-2547</t>
  </si>
  <si>
    <t>401-559-8961</t>
  </si>
  <si>
    <t>delmy.ahle@hotmail.com</t>
  </si>
  <si>
    <t>ABC COMPANY INC.</t>
  </si>
  <si>
    <t>98839 ABChorne ABLVD #6101</t>
  </si>
  <si>
    <t>ABC Francisco San Francisco CA 94104</t>
  </si>
  <si>
    <t>Company Address</t>
  </si>
  <si>
    <t>Shipping Address</t>
  </si>
  <si>
    <t>506 S Hacienda Dr Atlantic City Atlantic NJ 8401</t>
  </si>
  <si>
    <t>3732 Sherman Ave Bridgewater Somerset NJ 8807</t>
  </si>
  <si>
    <t>25657 Live Oak St Brooklyn Kings NY 11226</t>
  </si>
  <si>
    <t>4923 Carey Ave Saint Louis Saint Louis City MO 63104</t>
  </si>
  <si>
    <t>3196 S Rider Trl Stockton San Joaquin CA 95207</t>
  </si>
  <si>
    <t>3 Railway Ave #75 Little Falls Passaic NJ 7424</t>
  </si>
  <si>
    <t>87393 E Highland Rd Indianapolis Marion IN 46220</t>
  </si>
  <si>
    <t>67 E Chestnut Hill Rd Seattle King WA 98133</t>
  </si>
  <si>
    <t>33 Lewis Rd #46 Burlington Alamance NC 27215</t>
  </si>
  <si>
    <t>8100 Jacksonville Rd #7 Hays Ellis KS 67601</t>
  </si>
  <si>
    <t>7 W Wabansia Ave #227 Orlando Orange FL 32822</t>
  </si>
  <si>
    <t>25 Minters Chapel Rd #9 Minneapolis Hennepin MN 55401</t>
  </si>
  <si>
    <t>6882 Torresdale Ave Columbia Richland SC 29201</t>
  </si>
  <si>
    <t>985 E 6th Ave Santa Rosa Sonoma CA 95407</t>
  </si>
  <si>
    <t>7 West Ave #1 Palatine Cook IL 60067</t>
  </si>
  <si>
    <t>26659 N 13th St Costa Mesa Orange CA 92626</t>
  </si>
  <si>
    <t>669 Packerland Dr #1438 Denver Denver CO 80212</t>
  </si>
  <si>
    <t>759 Eldora St New Haven New Haven CT 6515</t>
  </si>
  <si>
    <t>5 S Colorado Blvd #449 Bothell Snohomish WA 98021</t>
  </si>
  <si>
    <t>944 Gaither Dr Strongsville Cuyahoga OH 44136</t>
  </si>
  <si>
    <t>66552 Malone Rd Plaistow Rockingham NH 3865</t>
  </si>
  <si>
    <t>77 Massillon Rd #822 Satellite Beach Brevard FL 32937</t>
  </si>
  <si>
    <t>25346 New Rd New York New York NY 10016</t>
  </si>
  <si>
    <t>60 Fillmore Ave Huntington Beach Orange CA 92647</t>
  </si>
  <si>
    <t>57 Haven Ave #90 Southfield Oakland MI 48075</t>
  </si>
  <si>
    <t>6538 E Pomona St #60 Indianapolis Marion IN 46222</t>
  </si>
  <si>
    <t>6535 Joyce St Wichita Falls Wichita TX 76301</t>
  </si>
  <si>
    <t>78112 Morris Ave North Haven New Haven CT 6473</t>
  </si>
  <si>
    <t>96950 Hidden Ln Aberdeen Harford MD 21001</t>
  </si>
  <si>
    <t>3718 S Main St New Orleans Orleans LA 70130</t>
  </si>
  <si>
    <t>9677 Commerce Dr Richmond Richmond City VA 23219</t>
  </si>
  <si>
    <t>5 Green Pond Rd #4 Southampton Bucks PA 18966</t>
  </si>
  <si>
    <t>636 Commerce Dr #42 Shakopee Scott MN 55379</t>
  </si>
  <si>
    <t>42744 Hamann Industrial Pky #82 Miami Miami-Dade FL 33136</t>
  </si>
  <si>
    <t>1950 5th Ave Milwaukee Milwaukee WI 53209</t>
  </si>
  <si>
    <t>61304 N French Rd Somerset Somerset NJ 8873</t>
  </si>
  <si>
    <t>87 Imperial Ct #79 Fargo Cass ND 58102</t>
  </si>
  <si>
    <t>94 W Dodge Rd Carson City Carson City NV 89701</t>
  </si>
  <si>
    <t>4 58th St #3519 Scottsdale Maricopa AZ 85254</t>
  </si>
  <si>
    <t>5221 Bear Valley Rd Nashville Davidson TN 37211</t>
  </si>
  <si>
    <t>9648 S Main Salisbury Wicomico MD 21801</t>
  </si>
  <si>
    <t>7 S San Marcos Rd New York New York NY 10004</t>
  </si>
  <si>
    <t>812 S Haven St Amarillo Randall TX 79109</t>
  </si>
  <si>
    <t>3882 W Congress St #799 Los Angeles Los Angeles CA 90016</t>
  </si>
  <si>
    <t>4 E Colonial Dr La Mesa San Diego CA 91942</t>
  </si>
  <si>
    <t>45 2nd Ave #9759 Atlanta Fulton GA 30328</t>
  </si>
  <si>
    <t>57254 Brickell Ave #372 Worcester Worcester MA 1602</t>
  </si>
  <si>
    <t>8977 Connecticut Ave Nw #3 Niles Berrien MI 49120</t>
  </si>
  <si>
    <t>9 Waydell St Fairfield Essex NJ 7004</t>
  </si>
  <si>
    <t>43 Huey P Long Ave Lafayette Lafayette LA 70508</t>
  </si>
  <si>
    <t>7563 Cornwall Rd #4462 Denver Lancaster PA 17517</t>
  </si>
  <si>
    <t>70099 E North Ave Arlington Tarrant TX 76013</t>
  </si>
  <si>
    <t>3211 E Northeast Loop Tampa Hillsborough FL 33619</t>
  </si>
  <si>
    <t>26 Montgomery St Atlanta Fulton GA 30328</t>
  </si>
  <si>
    <t>13252 Lighthouse Ave Cathedral City Riverside CA 92234</t>
  </si>
  <si>
    <t>206 Main St #2804 Lansing Ingham MI 48933</t>
  </si>
  <si>
    <t>96541 W Central Blvd Phoenix Maricopa AZ 85034</t>
  </si>
  <si>
    <t>34 Saint George Ave #2 Bangor Penobscot ME 4401</t>
  </si>
  <si>
    <t>47857 Coney Island Ave Clinton Prince Georges MD 20735</t>
  </si>
  <si>
    <t>PID</t>
  </si>
  <si>
    <t>ID</t>
  </si>
  <si>
    <t>PRODUCT</t>
  </si>
  <si>
    <t>Product</t>
  </si>
  <si>
    <t>2C55CA</t>
  </si>
  <si>
    <t>3Doodler Create Flexy 3D</t>
  </si>
  <si>
    <t>E04B99</t>
  </si>
  <si>
    <t>Woodstock- Collage 500 pc</t>
  </si>
  <si>
    <t>F8C32A</t>
  </si>
  <si>
    <t>Terra by Battat â€“</t>
  </si>
  <si>
    <t>CC2083</t>
  </si>
  <si>
    <t>ARTSCAPE Etched Glass 24"</t>
  </si>
  <si>
    <t>69828C</t>
  </si>
  <si>
    <t>Pokemon TCG: Sun and</t>
  </si>
  <si>
    <t>7B0746</t>
  </si>
  <si>
    <t>Moonlite, 3-Story Bundle for</t>
  </si>
  <si>
    <t>C5F4C9</t>
  </si>
  <si>
    <t>DC Cover Girls: Black</t>
  </si>
  <si>
    <t>615BA9</t>
  </si>
  <si>
    <t>Baby Doll Bedding Chevron</t>
  </si>
  <si>
    <t>1ECCCB</t>
  </si>
  <si>
    <t>C&amp;D Visionary DC Comic</t>
  </si>
  <si>
    <t>D1AC6D</t>
  </si>
  <si>
    <t>The Learning Journey ABC</t>
  </si>
  <si>
    <t>D82015</t>
  </si>
  <si>
    <t>The Complete Common Core:</t>
  </si>
  <si>
    <t>39F1B8</t>
  </si>
  <si>
    <t>Flash Furniture 25''W x</t>
  </si>
  <si>
    <t>4AF083</t>
  </si>
  <si>
    <t xml:space="preserve">Schylling Veterinarian Kit </t>
  </si>
  <si>
    <t>A84F14</t>
  </si>
  <si>
    <t>Disney HK318329 Sofia The</t>
  </si>
  <si>
    <t>F5B939</t>
  </si>
  <si>
    <t>Team Associated 9665 Hinge</t>
  </si>
  <si>
    <t>89A993</t>
  </si>
  <si>
    <t>PLUS PLUS - Construction</t>
  </si>
  <si>
    <t>84FB43</t>
  </si>
  <si>
    <t>Big Party Pack Orange</t>
  </si>
  <si>
    <t>AF9830</t>
  </si>
  <si>
    <t>Peppa Pig Shape Sorter</t>
  </si>
  <si>
    <t>6D3885</t>
  </si>
  <si>
    <t>Huffy Kids Bikes 16</t>
  </si>
  <si>
    <t>326EBC</t>
  </si>
  <si>
    <t>NKOK Sonic and Sega</t>
  </si>
  <si>
    <t>FDD8DA</t>
  </si>
  <si>
    <t>Oopsy Daisy Birchwood Owl</t>
  </si>
  <si>
    <t>5BB4A9</t>
  </si>
  <si>
    <t>Franklin Sports Eye Black</t>
  </si>
  <si>
    <t>93C659</t>
  </si>
  <si>
    <t>Jay Franco Disney Frozen</t>
  </si>
  <si>
    <t>25A1FC</t>
  </si>
  <si>
    <t>TAMASHII NATIONS Bandai S.H.</t>
  </si>
  <si>
    <t>0B6EE0</t>
  </si>
  <si>
    <t>Weiler 14506 Nylox Cup</t>
  </si>
  <si>
    <t>4449B3</t>
  </si>
  <si>
    <t>Disney Mickey Golf Ball</t>
  </si>
  <si>
    <t>C3296D</t>
  </si>
  <si>
    <t>Poopsie Unicorn Crush with</t>
  </si>
  <si>
    <t>3D63AF</t>
  </si>
  <si>
    <t>Funko Pop! Games: Persona</t>
  </si>
  <si>
    <t>A1793C</t>
  </si>
  <si>
    <t>Klutz Decorate This Journal</t>
  </si>
  <si>
    <t>437D95</t>
  </si>
  <si>
    <t>Pacific Play Tent Agility</t>
  </si>
  <si>
    <t>54F37F</t>
  </si>
  <si>
    <t>Losi Ride Height Gauge,</t>
  </si>
  <si>
    <t>4F41E1</t>
  </si>
  <si>
    <t>Melissa &amp; Doug Disney</t>
  </si>
  <si>
    <t>A6C9EC</t>
  </si>
  <si>
    <t>VTech Twist and Hug</t>
  </si>
  <si>
    <t>2D835E</t>
  </si>
  <si>
    <t>LAMO 5" Vinyl Figure</t>
  </si>
  <si>
    <t>4CD74D</t>
  </si>
  <si>
    <t>Vallejo Game Color Sunblast</t>
  </si>
  <si>
    <t>43A663</t>
  </si>
  <si>
    <t>Top Trumps Liverpool FC</t>
  </si>
  <si>
    <t>F1A2C4</t>
  </si>
  <si>
    <t>Hot Wheels Track Builder</t>
  </si>
  <si>
    <t>C4C425</t>
  </si>
  <si>
    <t>Wild Republic Mermaid Toy,</t>
  </si>
  <si>
    <t>9AB355</t>
  </si>
  <si>
    <t>Melissa &amp; Doug Annie</t>
  </si>
  <si>
    <t>CB7FC2</t>
  </si>
  <si>
    <t>Sherlock Holmes - The</t>
  </si>
  <si>
    <t>CE9FD2</t>
  </si>
  <si>
    <t>Domez My Hero Academia</t>
  </si>
  <si>
    <t>EE4F74</t>
  </si>
  <si>
    <t>Paw Patrol, Mighty Pups</t>
  </si>
  <si>
    <t>A837EC</t>
  </si>
  <si>
    <t>Alex Discover Button Art</t>
  </si>
  <si>
    <t>B4358A</t>
  </si>
  <si>
    <t>DC Collectibles DCTV: Black</t>
  </si>
  <si>
    <t>83E5BB</t>
  </si>
  <si>
    <t>Rubie's Adult 2-Tone Costume</t>
  </si>
  <si>
    <t>CA1066</t>
  </si>
  <si>
    <t>Funko Pop! Rides: Mulan</t>
  </si>
  <si>
    <t>A7A21A</t>
  </si>
  <si>
    <t>Aurora World Sweet and</t>
  </si>
  <si>
    <t>18BF31</t>
  </si>
  <si>
    <t>Baby Alive Luv 'n</t>
  </si>
  <si>
    <t>B2C243</t>
  </si>
  <si>
    <t>Aurora World Miyoni Poodle</t>
  </si>
  <si>
    <t>1195F9</t>
  </si>
  <si>
    <t>Mon AMI Pink Piglet</t>
  </si>
  <si>
    <t>79B669</t>
  </si>
  <si>
    <t>Proline 1013214 Hyrax 2G8</t>
  </si>
  <si>
    <t>7D223D</t>
  </si>
  <si>
    <t>NECA - Teenage Mutant</t>
  </si>
  <si>
    <t>90FCAB</t>
  </si>
  <si>
    <t>Hansa Ostrich Baby Plush</t>
  </si>
  <si>
    <t>RPM 73162 Axle Carriers</t>
  </si>
  <si>
    <t>1F25E0</t>
  </si>
  <si>
    <t>Mikasa VSO2000 FIVB Replica</t>
  </si>
  <si>
    <t>954FB8</t>
  </si>
  <si>
    <t>The Corps Special Forces</t>
  </si>
  <si>
    <t>2B47BD</t>
  </si>
  <si>
    <t>Creativity for Kids Clay</t>
  </si>
  <si>
    <t>43CF83</t>
  </si>
  <si>
    <t xml:space="preserve">Herbaceous   </t>
  </si>
  <si>
    <t>4C63C2</t>
  </si>
  <si>
    <t>Wild Republic Snake Plush,</t>
  </si>
  <si>
    <t>655D6A</t>
  </si>
  <si>
    <t>Blade 130 S BNF</t>
  </si>
  <si>
    <t>39581E</t>
  </si>
  <si>
    <t>Madame Alexander 8" ICY</t>
  </si>
  <si>
    <t>67FB67</t>
  </si>
  <si>
    <t>NCAA Georgia Bulldogs Toy</t>
  </si>
  <si>
    <t>EAE3BE</t>
  </si>
  <si>
    <t>Learning Resources Serve It</t>
  </si>
  <si>
    <t>DBF821</t>
  </si>
  <si>
    <t>Amscan 120175 Banner, 8'</t>
  </si>
  <si>
    <t>30EA77</t>
  </si>
  <si>
    <t>Melissa &amp; Doug Kâ€™s</t>
  </si>
  <si>
    <t>8406B5</t>
  </si>
  <si>
    <t>Bachmann Old-Time Box Car</t>
  </si>
  <si>
    <t>D229C3</t>
  </si>
  <si>
    <t>Jumbo Foil Star Cutout</t>
  </si>
  <si>
    <t>72B935</t>
  </si>
  <si>
    <t>Aquarius I Heart Unicorns</t>
  </si>
  <si>
    <t>10E74E</t>
  </si>
  <si>
    <t>Great Eastern Mega Man</t>
  </si>
  <si>
    <t>AFEF5D</t>
  </si>
  <si>
    <t>Aquarius DC Wonder Woman</t>
  </si>
  <si>
    <t>A8DC69</t>
  </si>
  <si>
    <t>LEGO Friends Heartlake Surf</t>
  </si>
  <si>
    <t>9A895F</t>
  </si>
  <si>
    <t>amscan Thank Yous |</t>
  </si>
  <si>
    <t>Thames &amp; Kosmos Chem</t>
  </si>
  <si>
    <t>The Doll Maker Precious</t>
  </si>
  <si>
    <t>D0DC4B</t>
  </si>
  <si>
    <t>Kid O Myland UFO</t>
  </si>
  <si>
    <t>02D5D3</t>
  </si>
  <si>
    <t>Hasbro Little Pony Rainbow</t>
  </si>
  <si>
    <t>45208C</t>
  </si>
  <si>
    <t>Jay Franco Nickelodeon JoJo</t>
  </si>
  <si>
    <t>Play-Doh Poop Troop Set</t>
  </si>
  <si>
    <t>C709C8</t>
  </si>
  <si>
    <t>Firefly: The Game -</t>
  </si>
  <si>
    <t>99DA79</t>
  </si>
  <si>
    <t>Gym Dandy Teeter-Totter Home</t>
  </si>
  <si>
    <t>8E07A9</t>
  </si>
  <si>
    <t>Ultra Pro Gamers Bag</t>
  </si>
  <si>
    <t>A849DE</t>
  </si>
  <si>
    <t>Banpresto 35783 My Hero</t>
  </si>
  <si>
    <t>C0FD11</t>
  </si>
  <si>
    <t>Nations The Dice Game</t>
  </si>
  <si>
    <t>B7BB0D</t>
  </si>
  <si>
    <t>Spirit Riding Free Small</t>
  </si>
  <si>
    <t>28FB13</t>
  </si>
  <si>
    <t>Click N' Play Military</t>
  </si>
  <si>
    <t>CABEF2</t>
  </si>
  <si>
    <t>HiTec RCD 55013 HS-65HB</t>
  </si>
  <si>
    <t>7E4D77</t>
  </si>
  <si>
    <t>Canal Toys Power Dough</t>
  </si>
  <si>
    <t>41FA5A</t>
  </si>
  <si>
    <t>COBI Small Army DW</t>
  </si>
  <si>
    <t>A6BE2C</t>
  </si>
  <si>
    <t>Hitec RCD 44212 X4</t>
  </si>
  <si>
    <t>1D6D1A</t>
  </si>
  <si>
    <t>Corolle Bebe Bath Oceane</t>
  </si>
  <si>
    <t>Tiny Arcade Pole Position</t>
  </si>
  <si>
    <t>FF09AC</t>
  </si>
  <si>
    <t>WWE Rey Mysterio Elite</t>
  </si>
  <si>
    <t>9D5A71</t>
  </si>
  <si>
    <t>Dragon Ball Fighterz -</t>
  </si>
  <si>
    <t>167A65</t>
  </si>
  <si>
    <t>Original 3D Crystal Puzzle</t>
  </si>
  <si>
    <t>6BBD68</t>
  </si>
  <si>
    <t>Dark Horse Deluxe The</t>
  </si>
  <si>
    <t>55259E</t>
  </si>
  <si>
    <t>Darice Doll Hat: Black</t>
  </si>
  <si>
    <t>BAA973</t>
  </si>
  <si>
    <t>Wild Republic Horse Plush,</t>
  </si>
  <si>
    <t>C62585</t>
  </si>
  <si>
    <t>LEGO Technic Power Functions</t>
  </si>
  <si>
    <t>E9D6B0</t>
  </si>
  <si>
    <t>01BBE4</t>
  </si>
  <si>
    <t>Melissa &amp; Doug Bella</t>
  </si>
  <si>
    <t>20158A</t>
  </si>
  <si>
    <t>Pokemon 3 Inch Alolan</t>
  </si>
  <si>
    <t>2BF16B</t>
  </si>
  <si>
    <t>Jada Limited Edition 4"</t>
  </si>
  <si>
    <t>Vallejo Imperial Rome Era</t>
  </si>
  <si>
    <t>6932FF</t>
  </si>
  <si>
    <t>Indie Boards and Cards</t>
  </si>
  <si>
    <t>069BEA</t>
  </si>
  <si>
    <t>American Greetings My Little</t>
  </si>
  <si>
    <t>F9E0AF</t>
  </si>
  <si>
    <t xml:space="preserve">Nuts   </t>
  </si>
  <si>
    <t>Carson Dellosa Key Education</t>
  </si>
  <si>
    <t>DB0A55</t>
  </si>
  <si>
    <t>Disney Pixar Cars Trainer</t>
  </si>
  <si>
    <t>AADE3C</t>
  </si>
  <si>
    <t>Fashion Angels We Smell</t>
  </si>
  <si>
    <t>0C9EB5</t>
  </si>
  <si>
    <t>Forum Novelties Men's Adult</t>
  </si>
  <si>
    <t>B16353</t>
  </si>
  <si>
    <t>DC Collectibles DC Artists</t>
  </si>
  <si>
    <t>F4D333</t>
  </si>
  <si>
    <t>Carrera 23856 Ferrari 512</t>
  </si>
  <si>
    <t>ABE81D</t>
  </si>
  <si>
    <t>Nick Jr. Dora the</t>
  </si>
  <si>
    <t>40D32E</t>
  </si>
  <si>
    <t>Amscan 399918 6 Piece</t>
  </si>
  <si>
    <t>19EF95</t>
  </si>
  <si>
    <t>Sport Squad HX40 40</t>
  </si>
  <si>
    <t>5EC9D5</t>
  </si>
  <si>
    <t>Snow White and The</t>
  </si>
  <si>
    <t>C0B2F8</t>
  </si>
  <si>
    <t>Skip Hop Bandana Buddies</t>
  </si>
  <si>
    <t>26175E</t>
  </si>
  <si>
    <t>Gowi Toys Austria Police</t>
  </si>
  <si>
    <t>8810D7</t>
  </si>
  <si>
    <t>Bendon Finding Dory Sticker</t>
  </si>
  <si>
    <t>37069A</t>
  </si>
  <si>
    <t xml:space="preserve">Playmobil My CafÃ© </t>
  </si>
  <si>
    <t>A7F78A</t>
  </si>
  <si>
    <t>Battat â€“ 3 Car</t>
  </si>
  <si>
    <t>3FAFF4</t>
  </si>
  <si>
    <t>RoomMates My Little Pony</t>
  </si>
  <si>
    <t>B3B7FF</t>
  </si>
  <si>
    <t>Funko Pop! Marvel: Avengers</t>
  </si>
  <si>
    <t>49A72F</t>
  </si>
  <si>
    <t>4A1C57</t>
  </si>
  <si>
    <t>Eureka Back to School</t>
  </si>
  <si>
    <t>Lionel FasTrack Electric O</t>
  </si>
  <si>
    <t>D34CC1</t>
  </si>
  <si>
    <t>Rubies Devil Girls Child</t>
  </si>
  <si>
    <t>3CB8CC</t>
  </si>
  <si>
    <t>Bright Starts Rattle &amp;</t>
  </si>
  <si>
    <t>C0005A</t>
  </si>
  <si>
    <t>Pete The Cat Groovy</t>
  </si>
  <si>
    <t>B60293</t>
  </si>
  <si>
    <t>Disney Rapunzel Acrylic Key</t>
  </si>
  <si>
    <t>EC05FB</t>
  </si>
  <si>
    <t>Folkmanis Standing Bear Hand</t>
  </si>
  <si>
    <t>67C5AD</t>
  </si>
  <si>
    <t>Pro Series CLM-16 Red</t>
  </si>
  <si>
    <t>E38B5F</t>
  </si>
  <si>
    <t>Awesome Paw Patrol Bundle</t>
  </si>
  <si>
    <t>8E34BF</t>
  </si>
  <si>
    <t>Rubie's Suicide Squad Joker</t>
  </si>
  <si>
    <t>8A099A</t>
  </si>
  <si>
    <t>Papo Wild Animal Kingdom</t>
  </si>
  <si>
    <t>C9CCB2</t>
  </si>
  <si>
    <t>DC Lantern 2.75" PVC</t>
  </si>
  <si>
    <t>F2EBC9</t>
  </si>
  <si>
    <t>Nickelodeon's Dora and the</t>
  </si>
  <si>
    <t>D0777B</t>
  </si>
  <si>
    <t>Star Wars: The Force</t>
  </si>
  <si>
    <t>0C5298</t>
  </si>
  <si>
    <t>Ceaco Perfect Piece Count</t>
  </si>
  <si>
    <t>3B9ED9</t>
  </si>
  <si>
    <t>Disney Belle Soft Touch</t>
  </si>
  <si>
    <t>80B61D</t>
  </si>
  <si>
    <t>Rubie's Costume Dc Heroes</t>
  </si>
  <si>
    <t>D001B4</t>
  </si>
  <si>
    <t>VTech Click and Count</t>
  </si>
  <si>
    <t>4DC895</t>
  </si>
  <si>
    <t>Daron United 747 Single</t>
  </si>
  <si>
    <t>B57B63</t>
  </si>
  <si>
    <t>FOCO DC Comics Justice</t>
  </si>
  <si>
    <t>E57B56</t>
  </si>
  <si>
    <t>69D94B</t>
  </si>
  <si>
    <t>TOMY John Deere Learn</t>
  </si>
  <si>
    <t>949FEC</t>
  </si>
  <si>
    <t>Forum Novelties Jolly Elf</t>
  </si>
  <si>
    <t>3B56DD</t>
  </si>
  <si>
    <t>A3E13A</t>
  </si>
  <si>
    <t>Melissa &amp; Doug Created</t>
  </si>
  <si>
    <t>Wild Republic Great White</t>
  </si>
  <si>
    <t>5D26B1</t>
  </si>
  <si>
    <t>Privateer Press Warmachine -</t>
  </si>
  <si>
    <t>4D1942</t>
  </si>
  <si>
    <t>Stephen Joseph Cape, Unicorn</t>
  </si>
  <si>
    <t>A6737B</t>
  </si>
  <si>
    <t>Huffy Disney Princess Kid</t>
  </si>
  <si>
    <t>3ACE0B</t>
  </si>
  <si>
    <t>In the Breeze Silver</t>
  </si>
  <si>
    <t>98E34C</t>
  </si>
  <si>
    <t>X-Shot Chaos Orbit Dart</t>
  </si>
  <si>
    <t>AA6B0C</t>
  </si>
  <si>
    <t>Mrs. Grossman's Outer Space</t>
  </si>
  <si>
    <t>81DFC6</t>
  </si>
  <si>
    <t>Bachmann Trains Norfolk and</t>
  </si>
  <si>
    <t>4B64DF</t>
  </si>
  <si>
    <t>Bigjigs Rail Wooden Fairy</t>
  </si>
  <si>
    <t>Safety 1st Rubber TempGuard,</t>
  </si>
  <si>
    <t>C1131C</t>
  </si>
  <si>
    <t>Horizon Group USA Painting</t>
  </si>
  <si>
    <t>17613B</t>
  </si>
  <si>
    <t>Happy Trails Zebra Plush</t>
  </si>
  <si>
    <t>4113D9</t>
  </si>
  <si>
    <t>Wild Republic T-Rex Plush,</t>
  </si>
  <si>
    <t>69A2F7</t>
  </si>
  <si>
    <t>Du-Bro 223 1/8" x</t>
  </si>
  <si>
    <t>F31BFB</t>
  </si>
  <si>
    <t>Galison Joy to The</t>
  </si>
  <si>
    <t>891DB9</t>
  </si>
  <si>
    <t>Tamiya TAM58646 43101 R/C</t>
  </si>
  <si>
    <t>1B57C3</t>
  </si>
  <si>
    <t>Bachmann EMD 70ACe DCC</t>
  </si>
  <si>
    <t>29AEE3</t>
  </si>
  <si>
    <t>Colorbok YPI50047 You Paint</t>
  </si>
  <si>
    <t>4B77EA</t>
  </si>
  <si>
    <t>Funko Pop! Keychain: Frozen</t>
  </si>
  <si>
    <t>K2 Skate Men's Kinetic</t>
  </si>
  <si>
    <t>F686FB</t>
  </si>
  <si>
    <t>Funko Pop Games: Fortnite</t>
  </si>
  <si>
    <t>82D6DE</t>
  </si>
  <si>
    <t>Kâ€™NEX â€“ Turbo Jet</t>
  </si>
  <si>
    <t>D8AA0B</t>
  </si>
  <si>
    <t>Folkmanis Mini Sitting Frog</t>
  </si>
  <si>
    <t>CEB83B</t>
  </si>
  <si>
    <t>Funko Pop Marvel: Runaways</t>
  </si>
  <si>
    <t>2D584C</t>
  </si>
  <si>
    <t>Yoshi's Crafted World -</t>
  </si>
  <si>
    <t>37ED14</t>
  </si>
  <si>
    <t>Swagtron Swagger 2 Plus</t>
  </si>
  <si>
    <t>A0AB6D</t>
  </si>
  <si>
    <t>VTech Baby Lil' Critters</t>
  </si>
  <si>
    <t>C2CBB5</t>
  </si>
  <si>
    <t>Wildkin Kids 17 Inch</t>
  </si>
  <si>
    <t>844A69</t>
  </si>
  <si>
    <t>Barbie Dolphin Magic Snorkel</t>
  </si>
  <si>
    <t>8595D2</t>
  </si>
  <si>
    <t>Melissa &amp; Doug Pretend</t>
  </si>
  <si>
    <t>7B76DE</t>
  </si>
  <si>
    <t>Mudpuppy Princesses Color in</t>
  </si>
  <si>
    <t>63A6D2</t>
  </si>
  <si>
    <t>WWE Rowan Elite Collection</t>
  </si>
  <si>
    <t>A40833</t>
  </si>
  <si>
    <t>DIAMOND SELECT TOYS John</t>
  </si>
  <si>
    <t>C16B45</t>
  </si>
  <si>
    <t>Wild Republic Mountain Goat</t>
  </si>
  <si>
    <t>924503</t>
  </si>
  <si>
    <t>Pokemon TCG: Mega Camerupt</t>
  </si>
  <si>
    <t>40BA2B</t>
  </si>
  <si>
    <t>Animal Adventure | Popovers</t>
  </si>
  <si>
    <t>FE89E1</t>
  </si>
  <si>
    <t>Plush Royal Crown (purple)</t>
  </si>
  <si>
    <t>464420</t>
  </si>
  <si>
    <t>Wind-Up Walking Families -</t>
  </si>
  <si>
    <t>AE3B5B</t>
  </si>
  <si>
    <t>Melissa &amp; Doug Kids</t>
  </si>
  <si>
    <t>D5DA00</t>
  </si>
  <si>
    <t>Bohnanza: High Bohn Plus</t>
  </si>
  <si>
    <t>17F96F</t>
  </si>
  <si>
    <t>Hey! Play! Kids Pop-up</t>
  </si>
  <si>
    <t>13C572</t>
  </si>
  <si>
    <t>Bandai Hobby MG 1/100</t>
  </si>
  <si>
    <t>EDE3D4</t>
  </si>
  <si>
    <t>DIAMOND SELECT TOYS Batman</t>
  </si>
  <si>
    <t>896DDA</t>
  </si>
  <si>
    <t>Step2 2-in-1 Toy Box</t>
  </si>
  <si>
    <t>FF6DA7</t>
  </si>
  <si>
    <t>9" SOCCER BALL INFLATE</t>
  </si>
  <si>
    <t>2FAD8B</t>
  </si>
  <si>
    <t>Wood Photo Knobbed Puzzles</t>
  </si>
  <si>
    <t>467D2E</t>
  </si>
  <si>
    <t>PRINZ Man Money Curse</t>
  </si>
  <si>
    <t>11F058</t>
  </si>
  <si>
    <t>Adora ToddlerTime Girl Doll,</t>
  </si>
  <si>
    <t>892CAC</t>
  </si>
  <si>
    <t>Ergobaby Metro Compact City</t>
  </si>
  <si>
    <t>CC200B</t>
  </si>
  <si>
    <t>LIL TOTS Princess 14"</t>
  </si>
  <si>
    <t>EF19C6</t>
  </si>
  <si>
    <t>Discovery Layers of The</t>
  </si>
  <si>
    <t>193BBC</t>
  </si>
  <si>
    <t>GUND Baby My First</t>
  </si>
  <si>
    <t>0A92D6</t>
  </si>
  <si>
    <t>Power Rangers 97376 Blaster</t>
  </si>
  <si>
    <t>FBB3DD</t>
  </si>
  <si>
    <t>Celebrity 24DCL 24" Latex</t>
  </si>
  <si>
    <t>D05CE0</t>
  </si>
  <si>
    <t>Emoji Pals Kissy Kids</t>
  </si>
  <si>
    <t>E8CA69</t>
  </si>
  <si>
    <t>Creativity for Kids My</t>
  </si>
  <si>
    <t>5C987D</t>
  </si>
  <si>
    <t>Melissa &amp; Doug Mine</t>
  </si>
  <si>
    <t>507F45</t>
  </si>
  <si>
    <t>Darice 9163-46 Wood Airplane</t>
  </si>
  <si>
    <t>BB8ABD</t>
  </si>
  <si>
    <t>University Games Break Out</t>
  </si>
  <si>
    <t>B7BE8E</t>
  </si>
  <si>
    <t>Anna Frozen Fever Deluxe</t>
  </si>
  <si>
    <t>1A87E1</t>
  </si>
  <si>
    <t xml:space="preserve">Crawl N Play </t>
  </si>
  <si>
    <t>37CDED</t>
  </si>
  <si>
    <t>Bicycle Rider Back Playing</t>
  </si>
  <si>
    <t>99EA31</t>
  </si>
  <si>
    <t>Top Notch Teacher Products</t>
  </si>
  <si>
    <t>2244B6</t>
  </si>
  <si>
    <t xml:space="preserve">Schylling Shuffle Shot </t>
  </si>
  <si>
    <t>DED138</t>
  </si>
  <si>
    <t>Melissa &amp; Doug Magnetivity</t>
  </si>
  <si>
    <t>33B592</t>
  </si>
  <si>
    <t>Barbie Bride Costume, Medium</t>
  </si>
  <si>
    <t>B7FD8F</t>
  </si>
  <si>
    <t>My Own Pet Balloons</t>
  </si>
  <si>
    <t>ABC.toyama@ABC.org</t>
  </si>
  <si>
    <t>123-456-7899</t>
  </si>
  <si>
    <t>Selling Price</t>
  </si>
  <si>
    <t>3O407</t>
  </si>
  <si>
    <t>B14E47</t>
  </si>
  <si>
    <t>7OE304</t>
  </si>
  <si>
    <t>2924R9</t>
  </si>
  <si>
    <t>6980B2</t>
  </si>
  <si>
    <t>B09424</t>
  </si>
  <si>
    <t>1I6435</t>
  </si>
  <si>
    <t>7A2412</t>
  </si>
  <si>
    <t>3398OO</t>
  </si>
  <si>
    <t>94859S</t>
  </si>
  <si>
    <t>3B7640</t>
  </si>
  <si>
    <t>2. Please quote invoice number when remitting funds</t>
  </si>
  <si>
    <t>Due Date</t>
  </si>
  <si>
    <t>TERMS (Days)</t>
  </si>
  <si>
    <t>1. Please pay the Balance Due amount before Due Date</t>
  </si>
  <si>
    <t>Invoice Number</t>
  </si>
  <si>
    <t>Total Amount</t>
  </si>
  <si>
    <t>Date Issued</t>
  </si>
  <si>
    <t>Date Due</t>
  </si>
  <si>
    <t>Payment</t>
  </si>
  <si>
    <t>PDF status</t>
  </si>
  <si>
    <t>Mechanical Toothbrush</t>
  </si>
  <si>
    <t>Amscan Frozen 2 Birthday,</t>
  </si>
  <si>
    <t>Amscan Pretty Potion Witch</t>
  </si>
  <si>
    <t>Tracked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</si>
</sst>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4" formatCode="mm/dd/yy"/>
    <numFmt numFmtId="165" formatCode="_-&quot;$&quot;* #,##0.00_-;\-&quot;$&quot;* #,##0.00_-;_-&quot;$&quot;* &quot;-&quot;??_-;_-@"/>
    <numFmt numFmtId="166" formatCode="_-[$$-409]* #,##0.00_ ;_-[$$-409]* \-#,##0.00\ ;_-[$$-409]* &quot;-&quot;??_ ;_-@_ "/>
  </numFmts>
  <fonts count="33" x14ac:knownFonts="1">
    <font>
      <sz val="10"/>
      <color rgb="FF000000"/>
      <name val="Arial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2"/>
      <color rgb="FF000000"/>
      <name val="Century Gothic"/>
      <family val="2"/>
    </font>
    <font>
      <b/>
      <sz val="20"/>
      <color rgb="FFA5A5A5"/>
      <name val="Century Gothic"/>
      <family val="2"/>
    </font>
    <font>
      <b/>
      <sz val="22"/>
      <color rgb="FF4472C4"/>
      <name val="Century Gothic"/>
      <family val="2"/>
    </font>
    <font>
      <sz val="10"/>
      <color rgb="FF000000"/>
      <name val="Century Gothic"/>
      <family val="2"/>
    </font>
    <font>
      <sz val="10"/>
      <name val="Century Gothic"/>
      <family val="2"/>
    </font>
    <font>
      <sz val="18"/>
      <color rgb="FF7F7F7F"/>
      <name val="Century Gothic"/>
      <family val="2"/>
    </font>
    <font>
      <sz val="11"/>
      <color rgb="FFFFFFFF"/>
      <name val="Century Gothic"/>
      <family val="2"/>
    </font>
    <font>
      <b/>
      <sz val="9"/>
      <color rgb="FF1F3864"/>
      <name val="Century Gothic"/>
      <family val="2"/>
    </font>
    <font>
      <sz val="11"/>
      <color rgb="FF0070C0"/>
      <name val="Century Gothic"/>
      <family val="2"/>
    </font>
    <font>
      <i/>
      <sz val="9"/>
      <color rgb="FF333F4F"/>
      <name val="Century Gothic"/>
      <family val="2"/>
    </font>
    <font>
      <sz val="11"/>
      <color rgb="FF1F3864"/>
      <name val="Century Gothic"/>
      <family val="2"/>
    </font>
    <font>
      <sz val="9"/>
      <color rgb="FF000000"/>
      <name val="Century Gothic"/>
      <family val="2"/>
    </font>
    <font>
      <b/>
      <sz val="12"/>
      <color rgb="FF333F4F"/>
      <name val="Century Gothic"/>
      <family val="2"/>
    </font>
    <font>
      <b/>
      <sz val="8"/>
      <color rgb="FF333F4F"/>
      <name val="Century Gothic"/>
      <family val="2"/>
    </font>
    <font>
      <b/>
      <sz val="12"/>
      <name val="Century Gothic"/>
      <family val="2"/>
    </font>
    <font>
      <b/>
      <sz val="9"/>
      <name val="Century Gothic"/>
      <family val="2"/>
    </font>
    <font>
      <sz val="10"/>
      <color rgb="FF333F4F"/>
      <name val="Century Gothic"/>
      <family val="2"/>
    </font>
    <font>
      <b/>
      <sz val="24"/>
      <color rgb="FF7F7F7F"/>
      <name val="Century Gothic"/>
      <family val="2"/>
    </font>
    <font>
      <b/>
      <sz val="10"/>
      <color rgb="FF000000"/>
      <name val="Century Gothic"/>
      <family val="2"/>
    </font>
    <font>
      <b/>
      <sz val="10"/>
      <color rgb="FF1F3864"/>
      <name val="Century Gothic"/>
      <family val="2"/>
    </font>
    <font>
      <b/>
      <sz val="10"/>
      <color rgb="FFFFFFFF"/>
      <name val="Century Gothic"/>
      <family val="2"/>
    </font>
    <font>
      <b/>
      <sz val="10"/>
      <color rgb="FF333F4F"/>
      <name val="Century Gothic"/>
      <family val="2"/>
    </font>
    <font>
      <b/>
      <sz val="14"/>
      <color theme="0"/>
      <name val="Calibri"/>
      <family val="2"/>
      <scheme val="minor"/>
    </font>
    <font>
      <sz val="8"/>
      <name val="Arial"/>
      <family val="2"/>
    </font>
    <font>
      <sz val="11"/>
      <color theme="1"/>
      <name val="Arial"/>
      <family val="2"/>
    </font>
    <font>
      <sz val="14"/>
      <color theme="0"/>
      <name val="Calibri"/>
      <family val="2"/>
      <scheme val="minor"/>
    </font>
    <font>
      <b/>
      <sz val="11"/>
      <color rgb="FF333F4F"/>
      <name val="Century Gothic"/>
      <family val="2"/>
    </font>
    <font>
      <b/>
      <i/>
      <sz val="9"/>
      <color rgb="FF333F4F"/>
      <name val="Century Gothic"/>
      <family val="2"/>
    </font>
    <font>
      <sz val="9"/>
      <name val="Century Gothic"/>
      <family val="2"/>
    </font>
    <font>
      <b/>
      <sz val="16"/>
      <color rgb="FF00000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CC0000"/>
        <bgColor rgb="FFCC0000"/>
      </patternFill>
    </fill>
    <fill>
      <patternFill patternType="solid">
        <fgColor rgb="FFF3F3F3"/>
        <bgColor rgb="FFF3F3F3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8">
    <xf numFmtId="0" fontId="0" fillId="0" borderId="0" xfId="0" applyFont="1" applyAlignment="1"/>
    <xf numFmtId="0" fontId="0" fillId="0" borderId="0" xfId="0" applyFont="1" applyAlignment="1"/>
    <xf numFmtId="0" fontId="1" fillId="0" borderId="0" xfId="0" applyFont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6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9" fillId="0" borderId="0" xfId="0" applyFont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top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14" fillId="0" borderId="2" xfId="0" applyFont="1" applyBorder="1" applyAlignment="1">
      <alignment horizontal="center" vertical="center"/>
    </xf>
    <xf numFmtId="166" fontId="14" fillId="0" borderId="2" xfId="0" applyNumberFormat="1" applyFont="1" applyBorder="1" applyAlignment="1">
      <alignment horizontal="center" vertical="center"/>
    </xf>
    <xf numFmtId="2" fontId="14" fillId="0" borderId="0" xfId="0" applyNumberFormat="1" applyFont="1" applyAlignment="1">
      <alignment horizontal="right" vertical="center"/>
    </xf>
    <xf numFmtId="0" fontId="14" fillId="3" borderId="4" xfId="0" applyFont="1" applyFill="1" applyBorder="1" applyAlignment="1">
      <alignment horizontal="center" vertical="center"/>
    </xf>
    <xf numFmtId="166" fontId="14" fillId="3" borderId="4" xfId="0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166" fontId="14" fillId="0" borderId="4" xfId="0" applyNumberFormat="1" applyFont="1" applyBorder="1" applyAlignment="1">
      <alignment horizontal="center" vertical="center"/>
    </xf>
    <xf numFmtId="166" fontId="14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 vertical="center"/>
    </xf>
    <xf numFmtId="166" fontId="14" fillId="0" borderId="7" xfId="1" applyNumberFormat="1" applyFont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165" fontId="17" fillId="0" borderId="8" xfId="0" applyNumberFormat="1" applyFont="1" applyBorder="1" applyAlignment="1">
      <alignment vertical="center"/>
    </xf>
    <xf numFmtId="165" fontId="1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0" xfId="0" applyFont="1"/>
    <xf numFmtId="0" fontId="19" fillId="0" borderId="0" xfId="0" applyFont="1" applyAlignment="1">
      <alignment horizontal="center"/>
    </xf>
    <xf numFmtId="0" fontId="7" fillId="2" borderId="0" xfId="0" applyFont="1" applyFill="1"/>
    <xf numFmtId="0" fontId="22" fillId="0" borderId="1" xfId="0" applyFont="1" applyBorder="1" applyAlignment="1">
      <alignment horizontal="left" vertical="center"/>
    </xf>
    <xf numFmtId="0" fontId="23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5" borderId="9" xfId="0" applyFont="1" applyFill="1" applyBorder="1"/>
    <xf numFmtId="0" fontId="2" fillId="5" borderId="10" xfId="0" applyFont="1" applyFill="1" applyBorder="1"/>
    <xf numFmtId="0" fontId="2" fillId="0" borderId="9" xfId="0" applyFont="1" applyBorder="1"/>
    <xf numFmtId="0" fontId="2" fillId="0" borderId="10" xfId="0" applyFont="1" applyBorder="1"/>
    <xf numFmtId="0" fontId="2" fillId="5" borderId="17" xfId="0" applyFont="1" applyFill="1" applyBorder="1"/>
    <xf numFmtId="0" fontId="2" fillId="5" borderId="18" xfId="0" applyFont="1" applyFill="1" applyBorder="1"/>
    <xf numFmtId="0" fontId="25" fillId="6" borderId="9" xfId="0" applyFont="1" applyFill="1" applyBorder="1"/>
    <xf numFmtId="0" fontId="25" fillId="6" borderId="10" xfId="0" applyFont="1" applyFill="1" applyBorder="1"/>
    <xf numFmtId="0" fontId="6" fillId="0" borderId="0" xfId="0" applyFont="1" applyAlignment="1">
      <alignment vertical="top"/>
    </xf>
    <xf numFmtId="0" fontId="25" fillId="4" borderId="19" xfId="0" applyFont="1" applyFill="1" applyBorder="1"/>
    <xf numFmtId="0" fontId="14" fillId="0" borderId="3" xfId="0" applyFont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2" fontId="14" fillId="3" borderId="4" xfId="0" applyNumberFormat="1" applyFont="1" applyFill="1" applyBorder="1" applyAlignment="1">
      <alignment horizontal="center" vertical="center"/>
    </xf>
    <xf numFmtId="2" fontId="14" fillId="0" borderId="4" xfId="0" applyNumberFormat="1" applyFont="1" applyBorder="1" applyAlignment="1">
      <alignment horizontal="center" vertical="center"/>
    </xf>
    <xf numFmtId="9" fontId="14" fillId="0" borderId="7" xfId="2" applyFont="1" applyBorder="1" applyAlignment="1">
      <alignment vertical="center"/>
    </xf>
    <xf numFmtId="9" fontId="6" fillId="0" borderId="0" xfId="2" applyFont="1" applyAlignment="1">
      <alignment vertical="center"/>
    </xf>
    <xf numFmtId="0" fontId="2" fillId="5" borderId="19" xfId="0" applyFont="1" applyFill="1" applyBorder="1"/>
    <xf numFmtId="0" fontId="2" fillId="0" borderId="19" xfId="0" applyFont="1" applyBorder="1"/>
    <xf numFmtId="11" fontId="2" fillId="5" borderId="19" xfId="0" applyNumberFormat="1" applyFont="1" applyFill="1" applyBorder="1"/>
    <xf numFmtId="11" fontId="2" fillId="0" borderId="19" xfId="0" applyNumberFormat="1" applyFont="1" applyBorder="1"/>
    <xf numFmtId="0" fontId="2" fillId="0" borderId="14" xfId="0" applyFont="1" applyBorder="1"/>
    <xf numFmtId="166" fontId="25" fillId="4" borderId="22" xfId="0" applyNumberFormat="1" applyFont="1" applyFill="1" applyBorder="1" applyAlignment="1"/>
    <xf numFmtId="166" fontId="2" fillId="5" borderId="20" xfId="0" applyNumberFormat="1" applyFont="1" applyFill="1" applyBorder="1"/>
    <xf numFmtId="166" fontId="2" fillId="0" borderId="20" xfId="0" applyNumberFormat="1" applyFont="1" applyBorder="1"/>
    <xf numFmtId="166" fontId="2" fillId="0" borderId="21" xfId="0" applyNumberFormat="1" applyFont="1" applyBorder="1"/>
    <xf numFmtId="166" fontId="0" fillId="0" borderId="0" xfId="0" applyNumberFormat="1" applyFont="1" applyAlignment="1"/>
    <xf numFmtId="0" fontId="21" fillId="0" borderId="7" xfId="0" applyFont="1" applyBorder="1" applyAlignment="1">
      <alignment vertical="center" wrapText="1"/>
    </xf>
    <xf numFmtId="0" fontId="15" fillId="0" borderId="8" xfId="0" applyFont="1" applyBorder="1" applyAlignment="1">
      <alignment horizontal="right" vertical="center"/>
    </xf>
    <xf numFmtId="0" fontId="6" fillId="0" borderId="0" xfId="0" applyFont="1" applyBorder="1" applyAlignment="1"/>
    <xf numFmtId="0" fontId="28" fillId="6" borderId="0" xfId="0" applyFont="1" applyFill="1" applyAlignment="1">
      <alignment horizontal="center"/>
    </xf>
    <xf numFmtId="0" fontId="29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" fillId="5" borderId="13" xfId="0" applyFont="1" applyFill="1" applyBorder="1"/>
    <xf numFmtId="0" fontId="25" fillId="4" borderId="19" xfId="0" applyNumberFormat="1" applyFont="1" applyFill="1" applyBorder="1"/>
    <xf numFmtId="0" fontId="2" fillId="5" borderId="19" xfId="0" applyNumberFormat="1" applyFont="1" applyFill="1" applyBorder="1"/>
    <xf numFmtId="0" fontId="2" fillId="0" borderId="19" xfId="0" applyNumberFormat="1" applyFont="1" applyBorder="1"/>
    <xf numFmtId="0" fontId="2" fillId="0" borderId="14" xfId="0" applyNumberFormat="1" applyFont="1" applyBorder="1"/>
    <xf numFmtId="0" fontId="0" fillId="0" borderId="0" xfId="0" applyNumberFormat="1" applyFont="1" applyAlignment="1"/>
    <xf numFmtId="0" fontId="6" fillId="0" borderId="0" xfId="0" applyFont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14" fontId="0" fillId="0" borderId="0" xfId="0" applyNumberFormat="1" applyFont="1" applyAlignment="1"/>
    <xf numFmtId="0" fontId="27" fillId="0" borderId="0" xfId="0" applyFont="1" applyBorder="1" applyAlignment="1">
      <alignment vertical="center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/>
    <xf numFmtId="0" fontId="19" fillId="0" borderId="0" xfId="0" applyFont="1" applyAlignment="1">
      <alignment horizontal="center" vertical="center"/>
    </xf>
    <xf numFmtId="0" fontId="6" fillId="0" borderId="0" xfId="0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49" fontId="6" fillId="0" borderId="6" xfId="0" applyNumberFormat="1" applyFont="1" applyBorder="1" applyAlignment="1">
      <alignment horizontal="left" vertical="center" wrapText="1"/>
    </xf>
    <xf numFmtId="49" fontId="6" fillId="0" borderId="0" xfId="0" applyNumberFormat="1" applyFont="1" applyBorder="1" applyAlignment="1">
      <alignment horizontal="left" vertical="center" wrapText="1"/>
    </xf>
    <xf numFmtId="0" fontId="6" fillId="7" borderId="9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7" borderId="23" xfId="0" applyFont="1" applyFill="1" applyBorder="1" applyAlignment="1">
      <alignment horizontal="center"/>
    </xf>
    <xf numFmtId="0" fontId="6" fillId="7" borderId="24" xfId="0" applyFont="1" applyFill="1" applyBorder="1" applyAlignment="1">
      <alignment horizontal="center"/>
    </xf>
    <xf numFmtId="0" fontId="6" fillId="7" borderId="25" xfId="0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</cellXfs>
  <cellStyles count="3">
    <cellStyle name="Currency" xfId="1" builtinId="4"/>
    <cellStyle name="Normal" xfId="0" builtinId="0"/>
    <cellStyle name="Percent" xfId="2" builtinId="5"/>
  </cellStyles>
  <dxfs count="9"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9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rgb="FFCC0000"/>
          <bgColor rgb="FFCC00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58614</xdr:colOff>
      <xdr:row>2</xdr:row>
      <xdr:rowOff>159099</xdr:rowOff>
    </xdr:from>
    <xdr:to>
      <xdr:col>5</xdr:col>
      <xdr:colOff>1312115</xdr:colOff>
      <xdr:row>2</xdr:row>
      <xdr:rowOff>1406770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91977" y="510791"/>
          <a:ext cx="1253501" cy="12476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1</xdr:row>
          <xdr:rowOff>68580</xdr:rowOff>
        </xdr:from>
        <xdr:to>
          <xdr:col>11</xdr:col>
          <xdr:colOff>762000</xdr:colOff>
          <xdr:row>2</xdr:row>
          <xdr:rowOff>358140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670560</xdr:rowOff>
        </xdr:from>
        <xdr:to>
          <xdr:col>10</xdr:col>
          <xdr:colOff>38100</xdr:colOff>
          <xdr:row>2</xdr:row>
          <xdr:rowOff>1127760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Update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1158240</xdr:colOff>
          <xdr:row>2</xdr:row>
          <xdr:rowOff>670560</xdr:rowOff>
        </xdr:from>
        <xdr:to>
          <xdr:col>12</xdr:col>
          <xdr:colOff>1158240</xdr:colOff>
          <xdr:row>2</xdr:row>
          <xdr:rowOff>1127760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PDF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2</xdr:row>
          <xdr:rowOff>1409700</xdr:rowOff>
        </xdr:from>
        <xdr:to>
          <xdr:col>11</xdr:col>
          <xdr:colOff>762000</xdr:colOff>
          <xdr:row>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80D5C-4B83-4790-82EB-DCBEDA029BC2}" name="Table3" displayName="Table3" ref="B19:F30" totalsRowShown="0" headerRowDxfId="8" dataDxfId="6" headerRowBorderDxfId="7">
  <tableColumns count="5">
    <tableColumn id="1" xr3:uid="{7767E3C6-BF66-4124-871E-29A88BD6254A}" name="PRODUCT" dataDxfId="5"/>
    <tableColumn id="2" xr3:uid="{1C9636DE-380F-43EE-8FB2-9039C6E73308}" name="ID" dataDxfId="4">
      <calculatedColumnFormula>_xlfn.IFNA(VLOOKUP(Table3[[#This Row],[PRODUCT]], 'Product List'!$A$1:$C$217, 2, FALSE), "")</calculatedColumnFormula>
    </tableColumn>
    <tableColumn id="3" xr3:uid="{84894ACB-D5FC-4F5C-8916-4B87B6430B9D}" name="QTY" dataDxfId="3"/>
    <tableColumn id="4" xr3:uid="{81DF617B-54B6-42B9-97B4-EF2CA47654F0}" name="UNIT PRICE" dataDxfId="2">
      <calculatedColumnFormula>_xlfn.IFNA(VLOOKUP(Table3[[#This Row],[PRODUCT]],'Product List'!$A$1:$C$217, 3, FALSE), "")</calculatedColumnFormula>
    </tableColumn>
    <tableColumn id="5" xr3:uid="{8B3EB0FC-CFC5-446A-8B60-A76A786DA81B}" name="TOTAL" dataDxfId="1">
      <calculatedColumnFormula>IFERROR(Table3[[#This Row],[QTY]]*Table3[[#This Row],[UNIT PRICE]], "")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M49"/>
  <sheetViews>
    <sheetView showGridLines="0" tabSelected="1" zoomScale="68" zoomScaleNormal="86" workbookViewId="0">
      <selection activeCell="B20" sqref="B20"/>
    </sheetView>
  </sheetViews>
  <sheetFormatPr defaultColWidth="17.33203125" defaultRowHeight="15" customHeight="1" x14ac:dyDescent="0.25"/>
  <cols>
    <col min="1" max="1" width="4.33203125" style="7" customWidth="1"/>
    <col min="2" max="2" width="52.44140625" style="7" customWidth="1"/>
    <col min="3" max="3" width="7.44140625" style="7" customWidth="1"/>
    <col min="4" max="4" width="16.44140625" style="7" customWidth="1"/>
    <col min="5" max="6" width="20.33203125" style="7" customWidth="1"/>
    <col min="7" max="7" width="4" style="7" customWidth="1"/>
    <col min="8" max="16384" width="17.33203125" style="7"/>
  </cols>
  <sheetData>
    <row r="1" spans="1:13" ht="14.25" customHeight="1" x14ac:dyDescent="0.25">
      <c r="A1" s="3"/>
      <c r="B1" s="4"/>
      <c r="C1" s="5"/>
      <c r="D1" s="5"/>
      <c r="E1" s="5"/>
      <c r="F1" s="6"/>
      <c r="G1" s="6"/>
    </row>
    <row r="2" spans="1:13" ht="14.25" customHeight="1" x14ac:dyDescent="0.25">
      <c r="A2" s="8"/>
      <c r="B2" s="9"/>
      <c r="C2" s="10"/>
      <c r="D2" s="10"/>
      <c r="E2" s="10"/>
      <c r="F2" s="11"/>
      <c r="G2" s="11"/>
      <c r="I2" s="108"/>
      <c r="J2" s="109"/>
      <c r="K2" s="109"/>
      <c r="L2" s="109"/>
      <c r="M2" s="110"/>
    </row>
    <row r="3" spans="1:13" ht="132" customHeight="1" x14ac:dyDescent="0.25">
      <c r="A3" s="12"/>
      <c r="B3" s="97" t="s">
        <v>0</v>
      </c>
      <c r="C3" s="98"/>
      <c r="D3" s="8"/>
      <c r="E3" s="12"/>
      <c r="F3" s="13" t="s">
        <v>1</v>
      </c>
      <c r="G3" s="14"/>
      <c r="I3" s="111"/>
      <c r="J3" s="112"/>
      <c r="K3" s="112"/>
      <c r="L3" s="112"/>
      <c r="M3" s="113"/>
    </row>
    <row r="4" spans="1:13" ht="18" customHeight="1" x14ac:dyDescent="0.25">
      <c r="A4" s="12"/>
      <c r="B4" s="83" t="s">
        <v>434</v>
      </c>
      <c r="C4" s="8"/>
      <c r="D4" s="15"/>
      <c r="E4" s="8"/>
      <c r="F4" s="16" t="s">
        <v>2</v>
      </c>
      <c r="G4" s="17"/>
      <c r="I4" s="114"/>
      <c r="J4" s="115"/>
      <c r="K4" s="115"/>
      <c r="L4" s="115"/>
      <c r="M4" s="116"/>
    </row>
    <row r="5" spans="1:13" ht="18" customHeight="1" x14ac:dyDescent="0.25">
      <c r="A5" s="12"/>
      <c r="B5" s="83" t="s">
        <v>435</v>
      </c>
      <c r="C5" s="8"/>
      <c r="D5" s="18"/>
      <c r="E5" s="8"/>
      <c r="F5" s="84">
        <f ca="1">TODAY()</f>
        <v>45512</v>
      </c>
      <c r="G5" s="19"/>
    </row>
    <row r="6" spans="1:13" ht="18" customHeight="1" x14ac:dyDescent="0.25">
      <c r="A6" s="12"/>
      <c r="B6" s="83" t="s">
        <v>436</v>
      </c>
      <c r="C6" s="8"/>
      <c r="D6" s="15"/>
      <c r="E6" s="8"/>
      <c r="F6" s="20" t="s">
        <v>3</v>
      </c>
      <c r="G6" s="17"/>
    </row>
    <row r="7" spans="1:13" ht="18" customHeight="1" x14ac:dyDescent="0.25">
      <c r="A7" s="12"/>
      <c r="B7" s="83" t="s">
        <v>920</v>
      </c>
      <c r="C7" s="8"/>
      <c r="D7" s="21"/>
      <c r="E7" s="8"/>
      <c r="F7" s="85"/>
      <c r="G7" s="21"/>
    </row>
    <row r="8" spans="1:13" ht="18" customHeight="1" x14ac:dyDescent="0.25">
      <c r="A8" s="12"/>
      <c r="B8" s="83" t="s">
        <v>919</v>
      </c>
      <c r="C8" s="8"/>
      <c r="D8" s="8"/>
      <c r="E8" s="20" t="s">
        <v>935</v>
      </c>
      <c r="F8" s="20" t="s">
        <v>934</v>
      </c>
      <c r="G8" s="15"/>
    </row>
    <row r="9" spans="1:13" ht="18" customHeight="1" x14ac:dyDescent="0.25">
      <c r="A9" s="12"/>
      <c r="B9" s="22"/>
      <c r="C9" s="8"/>
      <c r="D9" s="8"/>
      <c r="E9" s="86"/>
      <c r="F9" s="84">
        <f ca="1">F5+E9</f>
        <v>45512</v>
      </c>
      <c r="G9" s="23"/>
    </row>
    <row r="10" spans="1:13" ht="15.75" customHeight="1" x14ac:dyDescent="0.25">
      <c r="A10" s="12"/>
      <c r="B10" s="49" t="s">
        <v>4</v>
      </c>
      <c r="C10" s="8"/>
      <c r="D10" s="49" t="s">
        <v>5</v>
      </c>
      <c r="E10" s="24"/>
      <c r="F10" s="24"/>
      <c r="G10" s="25"/>
    </row>
    <row r="11" spans="1:13" ht="4.5" customHeight="1" x14ac:dyDescent="0.25">
      <c r="A11" s="12"/>
      <c r="B11" s="8"/>
      <c r="C11" s="8"/>
      <c r="D11" s="8"/>
      <c r="E11" s="8"/>
      <c r="F11" s="8"/>
      <c r="G11" s="8"/>
    </row>
    <row r="12" spans="1:13" ht="18" customHeight="1" x14ac:dyDescent="0.25">
      <c r="A12" s="12"/>
      <c r="B12" s="26"/>
      <c r="C12" s="27"/>
      <c r="D12" s="117" t="str">
        <f>_xlfn.IFNA(VLOOKUP(B12, 'Client List'!$A$1:$H$60, 3, FALSE), "")</f>
        <v/>
      </c>
      <c r="E12" s="117"/>
      <c r="F12" s="117"/>
      <c r="G12" s="26"/>
    </row>
    <row r="13" spans="1:13" ht="18" customHeight="1" x14ac:dyDescent="0.25">
      <c r="A13" s="12"/>
      <c r="B13" s="26" t="str">
        <f>_xlfn.IFNA(VLOOKUP(B12, 'Client List'!$A$1:$H$60, 2, FALSE), "")</f>
        <v/>
      </c>
      <c r="C13" s="27"/>
      <c r="D13" s="117" t="str">
        <f>IF(B12 = 0, "", B12)</f>
        <v/>
      </c>
      <c r="E13" s="117"/>
      <c r="F13" s="117"/>
      <c r="G13" s="26"/>
    </row>
    <row r="14" spans="1:13" ht="18" customHeight="1" x14ac:dyDescent="0.25">
      <c r="A14" s="12"/>
      <c r="B14" s="60" t="str">
        <f>_xlfn.IFNA(VLOOKUP(B12,'Client List'!$A$1:$H$60, 4, FALSE), "")</f>
        <v/>
      </c>
      <c r="C14" s="27"/>
      <c r="D14" s="27" t="str">
        <f>_xlfn.IFNA(VLOOKUP(B12, 'Client List'!$A$1:$H$60, 5, FALSE), "")</f>
        <v/>
      </c>
      <c r="E14" s="27"/>
      <c r="F14" s="27"/>
      <c r="G14" s="26"/>
    </row>
    <row r="15" spans="1:13" ht="18" customHeight="1" x14ac:dyDescent="0.25">
      <c r="A15" s="12"/>
      <c r="B15" s="26" t="str">
        <f>_xlfn.IFNA(VLOOKUP(B12,'Client List'!$A$1:$H$60, 6, FALSE), "")</f>
        <v/>
      </c>
      <c r="C15" s="27"/>
      <c r="D15" s="117" t="str">
        <f>_xlfn.IFNA(VLOOKUP(B12, 'Client List'!$A$1:$H$60, 7, FALSE), "")</f>
        <v/>
      </c>
      <c r="E15" s="117"/>
      <c r="F15" s="117"/>
      <c r="G15" s="26"/>
    </row>
    <row r="16" spans="1:13" ht="18" customHeight="1" x14ac:dyDescent="0.25">
      <c r="A16" s="12"/>
      <c r="B16" s="26" t="str">
        <f>_xlfn.IFNA(VLOOKUP(B12,'Client List'!$A$1:$H$60, 8, FALSE), "")</f>
        <v/>
      </c>
      <c r="C16" s="27"/>
      <c r="D16" s="26"/>
      <c r="E16" s="26"/>
      <c r="F16" s="26"/>
      <c r="G16" s="26"/>
    </row>
    <row r="17" spans="1:7" ht="18" customHeight="1" x14ac:dyDescent="0.25">
      <c r="A17" s="12"/>
      <c r="B17" s="26"/>
      <c r="C17" s="27"/>
      <c r="D17" s="102"/>
      <c r="E17" s="100"/>
      <c r="F17" s="100"/>
      <c r="G17" s="21"/>
    </row>
    <row r="18" spans="1:7" ht="4.5" customHeight="1" x14ac:dyDescent="0.25">
      <c r="A18" s="12"/>
      <c r="B18" s="8"/>
      <c r="C18" s="8"/>
      <c r="D18" s="8"/>
      <c r="E18" s="8"/>
      <c r="F18" s="8"/>
      <c r="G18" s="8"/>
    </row>
    <row r="19" spans="1:7" ht="18" customHeight="1" x14ac:dyDescent="0.25">
      <c r="A19" s="12"/>
      <c r="B19" s="50" t="s">
        <v>500</v>
      </c>
      <c r="C19" s="50" t="s">
        <v>499</v>
      </c>
      <c r="D19" s="50" t="s">
        <v>6</v>
      </c>
      <c r="E19" s="50" t="s">
        <v>7</v>
      </c>
      <c r="F19" s="50" t="s">
        <v>8</v>
      </c>
      <c r="G19" s="17"/>
    </row>
    <row r="20" spans="1:7" ht="18" customHeight="1" x14ac:dyDescent="0.25">
      <c r="A20" s="12"/>
      <c r="B20" s="62"/>
      <c r="C20" s="33" t="str">
        <f>_xlfn.IFNA(VLOOKUP(Table3[[#This Row],[PRODUCT]], 'Product List'!$A$1:$C$217, 2, FALSE), "")</f>
        <v/>
      </c>
      <c r="D20" s="28"/>
      <c r="E20" s="63" t="str">
        <f>_xlfn.IFNA(VLOOKUP(Table3[[#This Row],[PRODUCT]],'Product List'!$A$1:$C$217, 3, FALSE), "")</f>
        <v/>
      </c>
      <c r="F20" s="29" t="str">
        <f>IFERROR(Table3[[#This Row],[QTY]]*Table3[[#This Row],[UNIT PRICE]], "")</f>
        <v/>
      </c>
      <c r="G20" s="30"/>
    </row>
    <row r="21" spans="1:7" ht="18" customHeight="1" x14ac:dyDescent="0.25">
      <c r="A21" s="12"/>
      <c r="B21" s="64"/>
      <c r="C21" s="64" t="str">
        <f>_xlfn.IFNA(VLOOKUP(Table3[[#This Row],[PRODUCT]], 'Product List'!$A$1:$C$217, 2, FALSE), "")</f>
        <v/>
      </c>
      <c r="D21" s="31"/>
      <c r="E21" s="65" t="str">
        <f>_xlfn.IFNA(VLOOKUP(Table3[[#This Row],[PRODUCT]],'Product List'!$A$1:$C$217, 3, FALSE), "")</f>
        <v/>
      </c>
      <c r="F21" s="32" t="str">
        <f>IFERROR(Table3[[#This Row],[QTY]]*Table3[[#This Row],[UNIT PRICE]], "")</f>
        <v/>
      </c>
      <c r="G21" s="30"/>
    </row>
    <row r="22" spans="1:7" ht="18" customHeight="1" x14ac:dyDescent="0.25">
      <c r="A22" s="12"/>
      <c r="B22" s="62"/>
      <c r="C22" s="94" t="str">
        <f>_xlfn.IFNA(VLOOKUP(Table3[[#This Row],[PRODUCT]], 'Product List'!$A$1:$C$217, 2, FALSE), "")</f>
        <v/>
      </c>
      <c r="D22" s="33"/>
      <c r="E22" s="66" t="str">
        <f>_xlfn.IFNA(VLOOKUP(Table3[[#This Row],[PRODUCT]],'Product List'!$A$1:$C$217, 3, FALSE), "")</f>
        <v/>
      </c>
      <c r="F22" s="34" t="str">
        <f>IFERROR(Table3[[#This Row],[QTY]]*Table3[[#This Row],[UNIT PRICE]], "")</f>
        <v/>
      </c>
      <c r="G22" s="30"/>
    </row>
    <row r="23" spans="1:7" ht="18" customHeight="1" x14ac:dyDescent="0.25">
      <c r="A23" s="12"/>
      <c r="B23" s="64"/>
      <c r="C23" s="64" t="str">
        <f>_xlfn.IFNA(VLOOKUP(Table3[[#This Row],[PRODUCT]], 'Product List'!$A$1:$C$217, 2, FALSE), "")</f>
        <v/>
      </c>
      <c r="D23" s="31"/>
      <c r="E23" s="65" t="str">
        <f>_xlfn.IFNA(VLOOKUP(Table3[[#This Row],[PRODUCT]],'Product List'!$A$1:$C$217, 3, FALSE), "")</f>
        <v/>
      </c>
      <c r="F23" s="32" t="str">
        <f>IFERROR(Table3[[#This Row],[QTY]]*Table3[[#This Row],[UNIT PRICE]], "")</f>
        <v/>
      </c>
      <c r="G23" s="30"/>
    </row>
    <row r="24" spans="1:7" ht="18" customHeight="1" x14ac:dyDescent="0.25">
      <c r="A24" s="12"/>
      <c r="B24" s="62"/>
      <c r="C24" s="94" t="str">
        <f>_xlfn.IFNA(VLOOKUP(Table3[[#This Row],[PRODUCT]], 'Product List'!$A$1:$C$217, 2, FALSE), "")</f>
        <v/>
      </c>
      <c r="D24" s="33"/>
      <c r="E24" s="66" t="str">
        <f>_xlfn.IFNA(VLOOKUP(Table3[[#This Row],[PRODUCT]],'Product List'!$A$1:$C$217, 3, FALSE), "")</f>
        <v/>
      </c>
      <c r="F24" s="34" t="str">
        <f>IFERROR(Table3[[#This Row],[QTY]]*Table3[[#This Row],[UNIT PRICE]], "")</f>
        <v/>
      </c>
      <c r="G24" s="30"/>
    </row>
    <row r="25" spans="1:7" ht="18" customHeight="1" x14ac:dyDescent="0.25">
      <c r="A25" s="12"/>
      <c r="B25" s="64"/>
      <c r="C25" s="64" t="str">
        <f>_xlfn.IFNA(VLOOKUP(Table3[[#This Row],[PRODUCT]], 'Product List'!$A$1:$C$217, 2, FALSE), "")</f>
        <v/>
      </c>
      <c r="D25" s="31"/>
      <c r="E25" s="65" t="str">
        <f>_xlfn.IFNA(VLOOKUP(Table3[[#This Row],[PRODUCT]],'Product List'!$A$1:$C$217, 3, FALSE), "")</f>
        <v/>
      </c>
      <c r="F25" s="32" t="str">
        <f>IFERROR(Table3[[#This Row],[QTY]]*Table3[[#This Row],[UNIT PRICE]], "")</f>
        <v/>
      </c>
      <c r="G25" s="30"/>
    </row>
    <row r="26" spans="1:7" ht="18" customHeight="1" x14ac:dyDescent="0.25">
      <c r="A26" s="12"/>
      <c r="B26" s="62"/>
      <c r="C26" s="94" t="str">
        <f>_xlfn.IFNA(VLOOKUP(Table3[[#This Row],[PRODUCT]], 'Product List'!$A$1:$C$217, 2, FALSE), "")</f>
        <v/>
      </c>
      <c r="D26" s="33"/>
      <c r="E26" s="66" t="str">
        <f>_xlfn.IFNA(VLOOKUP(Table3[[#This Row],[PRODUCT]],'Product List'!$A$1:$C$217, 3, FALSE), "")</f>
        <v/>
      </c>
      <c r="F26" s="34" t="str">
        <f>IFERROR(Table3[[#This Row],[QTY]]*Table3[[#This Row],[UNIT PRICE]], "")</f>
        <v/>
      </c>
      <c r="G26" s="30"/>
    </row>
    <row r="27" spans="1:7" ht="18" customHeight="1" x14ac:dyDescent="0.25">
      <c r="A27" s="12"/>
      <c r="B27" s="64"/>
      <c r="C27" s="64" t="str">
        <f>_xlfn.IFNA(VLOOKUP(Table3[[#This Row],[PRODUCT]], 'Product List'!$A$1:$C$217, 2, FALSE), "")</f>
        <v/>
      </c>
      <c r="D27" s="31"/>
      <c r="E27" s="65" t="str">
        <f>_xlfn.IFNA(VLOOKUP(Table3[[#This Row],[PRODUCT]],'Product List'!$A$1:$C$217, 3, FALSE), "")</f>
        <v/>
      </c>
      <c r="F27" s="32" t="str">
        <f>IFERROR(Table3[[#This Row],[QTY]]*Table3[[#This Row],[UNIT PRICE]], "")</f>
        <v/>
      </c>
      <c r="G27" s="30"/>
    </row>
    <row r="28" spans="1:7" ht="18" customHeight="1" x14ac:dyDescent="0.25">
      <c r="A28" s="12"/>
      <c r="B28" s="62"/>
      <c r="C28" s="94" t="str">
        <f>_xlfn.IFNA(VLOOKUP(Table3[[#This Row],[PRODUCT]], 'Product List'!$A$1:$C$217, 2, FALSE), "")</f>
        <v/>
      </c>
      <c r="D28" s="33"/>
      <c r="E28" s="66" t="str">
        <f>_xlfn.IFNA(VLOOKUP(Table3[[#This Row],[PRODUCT]],'Product List'!$A$1:$C$217, 3, FALSE), "")</f>
        <v/>
      </c>
      <c r="F28" s="34" t="str">
        <f>IFERROR(Table3[[#This Row],[QTY]]*Table3[[#This Row],[UNIT PRICE]], "")</f>
        <v/>
      </c>
      <c r="G28" s="30"/>
    </row>
    <row r="29" spans="1:7" ht="18" customHeight="1" x14ac:dyDescent="0.25">
      <c r="A29" s="12"/>
      <c r="B29" s="64"/>
      <c r="C29" s="64" t="str">
        <f>_xlfn.IFNA(VLOOKUP(Table3[[#This Row],[PRODUCT]], 'Product List'!$A$1:$C$217, 2, FALSE), "")</f>
        <v/>
      </c>
      <c r="D29" s="31"/>
      <c r="E29" s="65" t="str">
        <f>_xlfn.IFNA(VLOOKUP(Table3[[#This Row],[PRODUCT]],'Product List'!$A$1:$C$217, 3, FALSE), "")</f>
        <v/>
      </c>
      <c r="F29" s="32" t="str">
        <f>IFERROR(Table3[[#This Row],[QTY]]*Table3[[#This Row],[UNIT PRICE]], "")</f>
        <v/>
      </c>
      <c r="G29" s="30"/>
    </row>
    <row r="30" spans="1:7" ht="18" customHeight="1" x14ac:dyDescent="0.25">
      <c r="A30" s="12"/>
      <c r="B30" s="62"/>
      <c r="C30" s="94" t="str">
        <f>_xlfn.IFNA(VLOOKUP(Table3[[#This Row],[PRODUCT]], 'Product List'!$A$1:$C$217, 2, FALSE), "")</f>
        <v/>
      </c>
      <c r="D30" s="33"/>
      <c r="E30" s="66" t="str">
        <f>_xlfn.IFNA(VLOOKUP(Table3[[#This Row],[PRODUCT]],'Product List'!$A$1:$C$217, 3, FALSE), "")</f>
        <v/>
      </c>
      <c r="F30" s="35" t="str">
        <f>IFERROR(Table3[[#This Row],[QTY]]*Table3[[#This Row],[UNIT PRICE]], "")</f>
        <v/>
      </c>
      <c r="G30" s="30"/>
    </row>
    <row r="31" spans="1:7" ht="19.5" customHeight="1" x14ac:dyDescent="0.25">
      <c r="A31" s="12"/>
      <c r="B31" s="79" t="s">
        <v>9</v>
      </c>
      <c r="C31" s="36"/>
      <c r="D31" s="37"/>
      <c r="E31" s="38" t="s">
        <v>10</v>
      </c>
      <c r="F31" s="39">
        <f>SUM(Table3[TOTAL])</f>
        <v>0</v>
      </c>
      <c r="G31" s="40"/>
    </row>
    <row r="32" spans="1:7" ht="19.5" customHeight="1" x14ac:dyDescent="0.25">
      <c r="A32" s="12"/>
      <c r="B32" s="106" t="s">
        <v>936</v>
      </c>
      <c r="C32" s="51"/>
      <c r="D32" s="37"/>
      <c r="E32" s="38" t="s">
        <v>11</v>
      </c>
      <c r="F32" s="68"/>
      <c r="G32" s="40"/>
    </row>
    <row r="33" spans="1:9" ht="19.5" customHeight="1" x14ac:dyDescent="0.25">
      <c r="A33" s="12"/>
      <c r="B33" s="107"/>
      <c r="C33" s="51"/>
      <c r="D33" s="37"/>
      <c r="E33" s="38" t="s">
        <v>13</v>
      </c>
      <c r="F33" s="67">
        <v>0.18</v>
      </c>
      <c r="G33" s="40"/>
    </row>
    <row r="34" spans="1:9" ht="33.75" customHeight="1" x14ac:dyDescent="0.25">
      <c r="A34" s="12"/>
      <c r="B34" s="93" t="s">
        <v>933</v>
      </c>
      <c r="C34" s="51"/>
      <c r="D34" s="37"/>
      <c r="E34" s="80" t="s">
        <v>12</v>
      </c>
      <c r="F34" s="41">
        <f>F31 - (F32*F31) + (F33*F31)</f>
        <v>0</v>
      </c>
      <c r="G34" s="42"/>
    </row>
    <row r="35" spans="1:9" ht="9.75" customHeight="1" x14ac:dyDescent="0.25">
      <c r="A35" s="12"/>
      <c r="B35" s="105"/>
      <c r="C35" s="100"/>
      <c r="D35" s="100"/>
      <c r="E35" s="100"/>
      <c r="F35" s="100"/>
      <c r="G35" s="43"/>
    </row>
    <row r="36" spans="1:9" ht="9.75" customHeight="1" x14ac:dyDescent="0.25">
      <c r="A36" s="12"/>
      <c r="B36" s="43"/>
      <c r="C36" s="43"/>
      <c r="D36" s="43"/>
      <c r="E36" s="43"/>
      <c r="F36" s="43"/>
      <c r="G36" s="43"/>
    </row>
    <row r="37" spans="1:9" ht="15.75" customHeight="1" x14ac:dyDescent="0.25">
      <c r="A37" s="12"/>
      <c r="B37" s="101"/>
      <c r="C37" s="100"/>
      <c r="D37" s="100"/>
      <c r="E37" s="100"/>
      <c r="F37" s="100"/>
      <c r="G37" s="44"/>
    </row>
    <row r="38" spans="1:9" ht="15.75" customHeight="1" x14ac:dyDescent="0.25">
      <c r="A38" s="12"/>
      <c r="B38" s="99"/>
      <c r="C38" s="100"/>
      <c r="D38" s="100"/>
      <c r="E38" s="100"/>
      <c r="F38" s="100"/>
      <c r="G38" s="45"/>
    </row>
    <row r="39" spans="1:9" ht="21" customHeight="1" x14ac:dyDescent="0.25">
      <c r="A39" s="46"/>
      <c r="B39" s="103" t="s">
        <v>14</v>
      </c>
      <c r="C39" s="104"/>
      <c r="D39" s="104"/>
      <c r="E39" s="104"/>
      <c r="F39" s="104"/>
      <c r="G39" s="47"/>
    </row>
    <row r="40" spans="1:9" ht="15.75" customHeight="1" x14ac:dyDescent="0.25">
      <c r="A40" s="12"/>
      <c r="B40" s="12"/>
      <c r="C40" s="12"/>
      <c r="D40" s="12"/>
      <c r="E40" s="12"/>
      <c r="F40" s="12"/>
      <c r="G40" s="12"/>
    </row>
    <row r="41" spans="1:9" ht="15.75" customHeight="1" x14ac:dyDescent="0.25">
      <c r="A41" s="48"/>
      <c r="B41" s="48"/>
      <c r="C41" s="48"/>
      <c r="D41" s="48"/>
      <c r="E41" s="48"/>
      <c r="F41" s="48"/>
      <c r="G41" s="48"/>
    </row>
    <row r="47" spans="1:9" ht="15" customHeight="1" x14ac:dyDescent="0.25">
      <c r="E47" s="96"/>
      <c r="F47" s="96"/>
      <c r="G47" s="96"/>
      <c r="H47" s="96"/>
      <c r="I47" s="96"/>
    </row>
    <row r="48" spans="1:9" ht="15" customHeight="1" x14ac:dyDescent="0.25">
      <c r="E48" s="96"/>
      <c r="F48" s="96"/>
      <c r="G48" s="96"/>
      <c r="H48" s="96"/>
      <c r="I48" s="96"/>
    </row>
    <row r="49" spans="5:9" ht="15" customHeight="1" x14ac:dyDescent="0.25">
      <c r="E49" s="81"/>
      <c r="F49" s="81"/>
      <c r="G49" s="81"/>
      <c r="H49" s="81"/>
      <c r="I49" s="81"/>
    </row>
  </sheetData>
  <mergeCells count="13">
    <mergeCell ref="E47:I47"/>
    <mergeCell ref="E48:I48"/>
    <mergeCell ref="B3:C3"/>
    <mergeCell ref="B38:F38"/>
    <mergeCell ref="B37:F37"/>
    <mergeCell ref="D17:F17"/>
    <mergeCell ref="B39:F39"/>
    <mergeCell ref="B35:F35"/>
    <mergeCell ref="B32:B33"/>
    <mergeCell ref="I2:M4"/>
    <mergeCell ref="D12:F12"/>
    <mergeCell ref="D15:F15"/>
    <mergeCell ref="D13:F13"/>
  </mergeCells>
  <phoneticPr fontId="26" type="noConversion"/>
  <printOptions horizontalCentered="1" verticalCentered="1"/>
  <pageMargins left="0" right="0" top="0.83" bottom="0" header="0" footer="0"/>
  <pageSetup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9</xdr:col>
                    <xdr:colOff>762000</xdr:colOff>
                    <xdr:row>1</xdr:row>
                    <xdr:rowOff>68580</xdr:rowOff>
                  </from>
                  <to>
                    <xdr:col>11</xdr:col>
                    <xdr:colOff>762000</xdr:colOff>
                    <xdr:row>2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Tracker">
                <anchor moveWithCells="1">
                  <from>
                    <xdr:col>8</xdr:col>
                    <xdr:colOff>38100</xdr:colOff>
                    <xdr:row>2</xdr:row>
                    <xdr:rowOff>670560</xdr:rowOff>
                  </from>
                  <to>
                    <xdr:col>10</xdr:col>
                    <xdr:colOff>38100</xdr:colOff>
                    <xdr:row>2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dfGenerator">
                <anchor moveWithCells="1">
                  <from>
                    <xdr:col>10</xdr:col>
                    <xdr:colOff>1158240</xdr:colOff>
                    <xdr:row>2</xdr:row>
                    <xdr:rowOff>670560</xdr:rowOff>
                  </from>
                  <to>
                    <xdr:col>12</xdr:col>
                    <xdr:colOff>1158240</xdr:colOff>
                    <xdr:row>2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invoice">
                <anchor moveWithCells="1">
                  <from>
                    <xdr:col>9</xdr:col>
                    <xdr:colOff>762000</xdr:colOff>
                    <xdr:row>2</xdr:row>
                    <xdr:rowOff>1409700</xdr:rowOff>
                  </from>
                  <to>
                    <xdr:col>11</xdr:col>
                    <xdr:colOff>762000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037F-4370-4ACF-97B4-A869DC7F8289}">
  <sheetPr codeName="Sheet4"/>
  <dimension ref="A1:H12"/>
  <sheetViews>
    <sheetView workbookViewId="0">
      <selection activeCell="K21" sqref="K21"/>
    </sheetView>
  </sheetViews>
  <sheetFormatPr defaultRowHeight="13.2" x14ac:dyDescent="0.25"/>
  <cols>
    <col min="1" max="1" width="20.5546875" bestFit="1" customWidth="1"/>
    <col min="2" max="2" width="28" customWidth="1"/>
    <col min="3" max="3" width="18.109375" bestFit="1" customWidth="1"/>
    <col min="4" max="4" width="15.5546875" bestFit="1" customWidth="1"/>
    <col min="5" max="5" width="12.5546875" bestFit="1" customWidth="1"/>
    <col min="6" max="6" width="12" bestFit="1" customWidth="1"/>
    <col min="7" max="7" width="12" style="1" customWidth="1"/>
    <col min="8" max="8" width="14.21875" bestFit="1" customWidth="1"/>
  </cols>
  <sheetData>
    <row r="1" spans="1:8" ht="18" x14ac:dyDescent="0.35">
      <c r="A1" s="82" t="s">
        <v>937</v>
      </c>
      <c r="B1" s="82" t="s">
        <v>17</v>
      </c>
      <c r="C1" s="82" t="s">
        <v>938</v>
      </c>
      <c r="D1" s="82" t="s">
        <v>939</v>
      </c>
      <c r="E1" s="82" t="s">
        <v>940</v>
      </c>
      <c r="F1" s="82" t="s">
        <v>941</v>
      </c>
      <c r="G1" s="82" t="s">
        <v>946</v>
      </c>
      <c r="H1" s="82" t="s">
        <v>942</v>
      </c>
    </row>
    <row r="2" spans="1:8" x14ac:dyDescent="0.25">
      <c r="D2" s="95"/>
      <c r="E2" s="95"/>
      <c r="F2" s="2"/>
    </row>
    <row r="3" spans="1:8" x14ac:dyDescent="0.25">
      <c r="D3" s="95"/>
      <c r="E3" s="95"/>
    </row>
    <row r="12" spans="1:8" x14ac:dyDescent="0.25">
      <c r="A12" s="2"/>
    </row>
  </sheetData>
  <conditionalFormatting sqref="A2:E239">
    <cfRule type="expression" dxfId="0" priority="1">
      <formula>AND($A2 &lt;&gt; "", $F2 = "")</formula>
    </cfRule>
  </conditionalFormatting>
  <dataValidations count="1">
    <dataValidation type="list" allowBlank="1" showInputMessage="1" showErrorMessage="1" sqref="F1:F1048576" xr:uid="{EB240CAA-9940-4446-908E-F23DBE285285}">
      <formula1>"Yes"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CF148-C14A-4F6E-AB46-D795A4F063AE}">
  <sheetPr codeName="Sheet2"/>
  <dimension ref="A1:H60"/>
  <sheetViews>
    <sheetView workbookViewId="0">
      <selection sqref="A1:XFD1"/>
    </sheetView>
  </sheetViews>
  <sheetFormatPr defaultRowHeight="13.2" x14ac:dyDescent="0.25"/>
  <cols>
    <col min="1" max="1" width="27.44140625" style="1" bestFit="1" customWidth="1"/>
    <col min="2" max="2" width="18.109375" bestFit="1" customWidth="1"/>
    <col min="3" max="3" width="37.77734375" bestFit="1" customWidth="1"/>
    <col min="4" max="4" width="50.77734375" bestFit="1" customWidth="1"/>
    <col min="5" max="5" width="53.33203125" style="1" bestFit="1" customWidth="1"/>
    <col min="6" max="6" width="20" customWidth="1"/>
    <col min="7" max="7" width="19.21875" customWidth="1"/>
    <col min="8" max="8" width="28" bestFit="1" customWidth="1"/>
  </cols>
  <sheetData>
    <row r="1" spans="1:8" ht="18" x14ac:dyDescent="0.35">
      <c r="A1" s="58" t="s">
        <v>17</v>
      </c>
      <c r="B1" s="58" t="s">
        <v>15</v>
      </c>
      <c r="C1" s="58" t="s">
        <v>16</v>
      </c>
      <c r="D1" s="58" t="s">
        <v>437</v>
      </c>
      <c r="E1" s="58" t="s">
        <v>438</v>
      </c>
      <c r="F1" s="58" t="s">
        <v>18</v>
      </c>
      <c r="G1" s="58" t="s">
        <v>19</v>
      </c>
      <c r="H1" s="59" t="s">
        <v>20</v>
      </c>
    </row>
    <row r="2" spans="1:8" x14ac:dyDescent="0.25">
      <c r="A2" s="52" t="s">
        <v>324</v>
      </c>
      <c r="B2" s="52" t="s">
        <v>322</v>
      </c>
      <c r="C2" s="52" t="s">
        <v>323</v>
      </c>
      <c r="D2" s="52" t="s">
        <v>325</v>
      </c>
      <c r="E2" s="52" t="s">
        <v>482</v>
      </c>
      <c r="F2" s="52" t="s">
        <v>326</v>
      </c>
      <c r="G2" s="52" t="s">
        <v>327</v>
      </c>
      <c r="H2" s="53" t="s">
        <v>328</v>
      </c>
    </row>
    <row r="3" spans="1:8" x14ac:dyDescent="0.25">
      <c r="A3" s="54" t="s">
        <v>380</v>
      </c>
      <c r="B3" s="54" t="s">
        <v>378</v>
      </c>
      <c r="C3" s="54" t="s">
        <v>379</v>
      </c>
      <c r="D3" s="54" t="s">
        <v>381</v>
      </c>
      <c r="E3" s="52" t="s">
        <v>490</v>
      </c>
      <c r="F3" s="54" t="s">
        <v>382</v>
      </c>
      <c r="G3" s="54" t="s">
        <v>383</v>
      </c>
      <c r="H3" s="55" t="s">
        <v>384</v>
      </c>
    </row>
    <row r="4" spans="1:8" x14ac:dyDescent="0.25">
      <c r="A4" s="52" t="s">
        <v>23</v>
      </c>
      <c r="B4" s="52" t="s">
        <v>21</v>
      </c>
      <c r="C4" s="52" t="s">
        <v>22</v>
      </c>
      <c r="D4" s="52" t="s">
        <v>24</v>
      </c>
      <c r="E4" s="52" t="s">
        <v>439</v>
      </c>
      <c r="F4" s="52" t="s">
        <v>25</v>
      </c>
      <c r="G4" s="52" t="s">
        <v>26</v>
      </c>
      <c r="H4" s="53" t="s">
        <v>27</v>
      </c>
    </row>
    <row r="5" spans="1:8" x14ac:dyDescent="0.25">
      <c r="A5" s="54" t="s">
        <v>366</v>
      </c>
      <c r="B5" s="54" t="s">
        <v>364</v>
      </c>
      <c r="C5" s="54" t="s">
        <v>365</v>
      </c>
      <c r="D5" s="54" t="s">
        <v>367</v>
      </c>
      <c r="E5" s="54" t="s">
        <v>488</v>
      </c>
      <c r="F5" s="54" t="s">
        <v>368</v>
      </c>
      <c r="G5" s="54" t="s">
        <v>369</v>
      </c>
      <c r="H5" s="55" t="s">
        <v>370</v>
      </c>
    </row>
    <row r="6" spans="1:8" x14ac:dyDescent="0.25">
      <c r="A6" s="52" t="s">
        <v>135</v>
      </c>
      <c r="B6" s="52" t="s">
        <v>133</v>
      </c>
      <c r="C6" s="52" t="s">
        <v>134</v>
      </c>
      <c r="D6" s="52" t="s">
        <v>136</v>
      </c>
      <c r="E6" s="52" t="s">
        <v>455</v>
      </c>
      <c r="F6" s="52" t="s">
        <v>137</v>
      </c>
      <c r="G6" s="52" t="s">
        <v>138</v>
      </c>
      <c r="H6" s="53" t="s">
        <v>139</v>
      </c>
    </row>
    <row r="7" spans="1:8" x14ac:dyDescent="0.25">
      <c r="A7" s="52" t="s">
        <v>415</v>
      </c>
      <c r="B7" s="52" t="s">
        <v>413</v>
      </c>
      <c r="C7" s="52" t="s">
        <v>414</v>
      </c>
      <c r="D7" s="52" t="s">
        <v>416</v>
      </c>
      <c r="E7" s="54" t="s">
        <v>495</v>
      </c>
      <c r="F7" s="52" t="s">
        <v>417</v>
      </c>
      <c r="G7" s="52" t="s">
        <v>418</v>
      </c>
      <c r="H7" s="53" t="s">
        <v>419</v>
      </c>
    </row>
    <row r="8" spans="1:8" x14ac:dyDescent="0.25">
      <c r="A8" s="52" t="s">
        <v>114</v>
      </c>
      <c r="B8" s="52" t="s">
        <v>112</v>
      </c>
      <c r="C8" s="52" t="s">
        <v>113</v>
      </c>
      <c r="D8" s="52" t="s">
        <v>115</v>
      </c>
      <c r="E8" s="52" t="s">
        <v>452</v>
      </c>
      <c r="F8" s="52" t="s">
        <v>116</v>
      </c>
      <c r="G8" s="52" t="s">
        <v>117</v>
      </c>
      <c r="H8" s="53" t="s">
        <v>118</v>
      </c>
    </row>
    <row r="9" spans="1:8" x14ac:dyDescent="0.25">
      <c r="A9" s="54" t="s">
        <v>170</v>
      </c>
      <c r="B9" s="54" t="s">
        <v>168</v>
      </c>
      <c r="C9" s="54" t="s">
        <v>169</v>
      </c>
      <c r="D9" s="54" t="s">
        <v>171</v>
      </c>
      <c r="E9" s="54" t="s">
        <v>460</v>
      </c>
      <c r="F9" s="54" t="s">
        <v>172</v>
      </c>
      <c r="G9" s="54" t="s">
        <v>173</v>
      </c>
      <c r="H9" s="55" t="s">
        <v>174</v>
      </c>
    </row>
    <row r="10" spans="1:8" x14ac:dyDescent="0.25">
      <c r="A10" s="52" t="s">
        <v>240</v>
      </c>
      <c r="B10" s="52" t="s">
        <v>238</v>
      </c>
      <c r="C10" s="52" t="s">
        <v>239</v>
      </c>
      <c r="D10" s="52" t="s">
        <v>241</v>
      </c>
      <c r="E10" s="52" t="s">
        <v>470</v>
      </c>
      <c r="F10" s="52" t="s">
        <v>242</v>
      </c>
      <c r="G10" s="52" t="s">
        <v>243</v>
      </c>
      <c r="H10" s="53" t="s">
        <v>244</v>
      </c>
    </row>
    <row r="11" spans="1:8" x14ac:dyDescent="0.25">
      <c r="A11" s="54" t="s">
        <v>128</v>
      </c>
      <c r="B11" s="54" t="s">
        <v>126</v>
      </c>
      <c r="C11" s="54" t="s">
        <v>127</v>
      </c>
      <c r="D11" s="54" t="s">
        <v>129</v>
      </c>
      <c r="E11" s="54" t="s">
        <v>454</v>
      </c>
      <c r="F11" s="54" t="s">
        <v>130</v>
      </c>
      <c r="G11" s="54" t="s">
        <v>131</v>
      </c>
      <c r="H11" s="55" t="s">
        <v>132</v>
      </c>
    </row>
    <row r="12" spans="1:8" x14ac:dyDescent="0.25">
      <c r="A12" s="52" t="s">
        <v>30</v>
      </c>
      <c r="B12" s="52" t="s">
        <v>28</v>
      </c>
      <c r="C12" s="52" t="s">
        <v>29</v>
      </c>
      <c r="D12" s="52" t="s">
        <v>31</v>
      </c>
      <c r="E12" s="52" t="s">
        <v>440</v>
      </c>
      <c r="F12" s="52" t="s">
        <v>32</v>
      </c>
      <c r="G12" s="52" t="s">
        <v>33</v>
      </c>
      <c r="H12" s="53" t="s">
        <v>34</v>
      </c>
    </row>
    <row r="13" spans="1:8" x14ac:dyDescent="0.25">
      <c r="A13" s="54" t="s">
        <v>58</v>
      </c>
      <c r="B13" s="54" t="s">
        <v>56</v>
      </c>
      <c r="C13" s="54" t="s">
        <v>57</v>
      </c>
      <c r="D13" s="54" t="s">
        <v>59</v>
      </c>
      <c r="E13" s="54" t="s">
        <v>444</v>
      </c>
      <c r="F13" s="54" t="s">
        <v>60</v>
      </c>
      <c r="G13" s="54" t="s">
        <v>61</v>
      </c>
      <c r="H13" s="55" t="s">
        <v>62</v>
      </c>
    </row>
    <row r="14" spans="1:8" x14ac:dyDescent="0.25">
      <c r="A14" s="52" t="s">
        <v>37</v>
      </c>
      <c r="B14" s="52" t="s">
        <v>35</v>
      </c>
      <c r="C14" s="52" t="s">
        <v>36</v>
      </c>
      <c r="D14" s="52" t="s">
        <v>38</v>
      </c>
      <c r="E14" s="52" t="s">
        <v>441</v>
      </c>
      <c r="F14" s="52" t="s">
        <v>39</v>
      </c>
      <c r="G14" s="52" t="s">
        <v>40</v>
      </c>
      <c r="H14" s="53" t="s">
        <v>41</v>
      </c>
    </row>
    <row r="15" spans="1:8" x14ac:dyDescent="0.25">
      <c r="A15" s="52" t="s">
        <v>331</v>
      </c>
      <c r="B15" s="52" t="s">
        <v>329</v>
      </c>
      <c r="C15" s="52" t="s">
        <v>330</v>
      </c>
      <c r="D15" s="52" t="s">
        <v>332</v>
      </c>
      <c r="E15" s="52" t="s">
        <v>483</v>
      </c>
      <c r="F15" s="52" t="s">
        <v>333</v>
      </c>
      <c r="G15" s="52" t="s">
        <v>334</v>
      </c>
      <c r="H15" s="53" t="s">
        <v>335</v>
      </c>
    </row>
    <row r="16" spans="1:8" x14ac:dyDescent="0.25">
      <c r="A16" s="52" t="s">
        <v>226</v>
      </c>
      <c r="B16" s="52" t="s">
        <v>224</v>
      </c>
      <c r="C16" s="52" t="s">
        <v>225</v>
      </c>
      <c r="D16" s="52" t="s">
        <v>227</v>
      </c>
      <c r="E16" s="52" t="s">
        <v>468</v>
      </c>
      <c r="F16" s="52" t="s">
        <v>228</v>
      </c>
      <c r="G16" s="52" t="s">
        <v>229</v>
      </c>
      <c r="H16" s="53" t="s">
        <v>230</v>
      </c>
    </row>
    <row r="17" spans="1:8" x14ac:dyDescent="0.25">
      <c r="A17" s="54" t="s">
        <v>72</v>
      </c>
      <c r="B17" s="54" t="s">
        <v>70</v>
      </c>
      <c r="C17" s="54" t="s">
        <v>71</v>
      </c>
      <c r="D17" s="54" t="s">
        <v>73</v>
      </c>
      <c r="E17" s="54" t="s">
        <v>446</v>
      </c>
      <c r="F17" s="54" t="s">
        <v>74</v>
      </c>
      <c r="G17" s="54" t="s">
        <v>75</v>
      </c>
      <c r="H17" s="55" t="s">
        <v>76</v>
      </c>
    </row>
    <row r="18" spans="1:8" x14ac:dyDescent="0.25">
      <c r="A18" s="52" t="s">
        <v>93</v>
      </c>
      <c r="B18" s="52" t="s">
        <v>91</v>
      </c>
      <c r="C18" s="52" t="s">
        <v>92</v>
      </c>
      <c r="D18" s="52" t="s">
        <v>94</v>
      </c>
      <c r="E18" s="52" t="s">
        <v>449</v>
      </c>
      <c r="F18" s="52" t="s">
        <v>95</v>
      </c>
      <c r="G18" s="52" t="s">
        <v>96</v>
      </c>
      <c r="H18" s="53" t="s">
        <v>97</v>
      </c>
    </row>
    <row r="19" spans="1:8" x14ac:dyDescent="0.25">
      <c r="A19" s="54" t="s">
        <v>422</v>
      </c>
      <c r="B19" s="54" t="s">
        <v>420</v>
      </c>
      <c r="C19" s="54" t="s">
        <v>421</v>
      </c>
      <c r="D19" s="54" t="s">
        <v>423</v>
      </c>
      <c r="E19" s="52" t="s">
        <v>496</v>
      </c>
      <c r="F19" s="54" t="s">
        <v>424</v>
      </c>
      <c r="G19" s="54" t="s">
        <v>425</v>
      </c>
      <c r="H19" s="55" t="s">
        <v>426</v>
      </c>
    </row>
    <row r="20" spans="1:8" x14ac:dyDescent="0.25">
      <c r="A20" s="52" t="s">
        <v>296</v>
      </c>
      <c r="B20" s="52" t="s">
        <v>294</v>
      </c>
      <c r="C20" s="52" t="s">
        <v>295</v>
      </c>
      <c r="D20" s="52" t="s">
        <v>297</v>
      </c>
      <c r="E20" s="52" t="s">
        <v>478</v>
      </c>
      <c r="F20" s="52" t="s">
        <v>298</v>
      </c>
      <c r="G20" s="52" t="s">
        <v>299</v>
      </c>
      <c r="H20" s="53" t="s">
        <v>300</v>
      </c>
    </row>
    <row r="21" spans="1:8" x14ac:dyDescent="0.25">
      <c r="A21" s="52" t="s">
        <v>149</v>
      </c>
      <c r="B21" s="52" t="s">
        <v>147</v>
      </c>
      <c r="C21" s="52" t="s">
        <v>148</v>
      </c>
      <c r="D21" s="52" t="s">
        <v>150</v>
      </c>
      <c r="E21" s="52" t="s">
        <v>457</v>
      </c>
      <c r="F21" s="52" t="s">
        <v>151</v>
      </c>
      <c r="G21" s="52" t="s">
        <v>152</v>
      </c>
      <c r="H21" s="53" t="s">
        <v>153</v>
      </c>
    </row>
    <row r="22" spans="1:8" x14ac:dyDescent="0.25">
      <c r="A22" s="52" t="s">
        <v>289</v>
      </c>
      <c r="B22" s="52" t="s">
        <v>287</v>
      </c>
      <c r="C22" s="52" t="s">
        <v>288</v>
      </c>
      <c r="D22" s="52" t="s">
        <v>290</v>
      </c>
      <c r="E22" s="52" t="s">
        <v>477</v>
      </c>
      <c r="F22" s="52" t="s">
        <v>291</v>
      </c>
      <c r="G22" s="52" t="s">
        <v>292</v>
      </c>
      <c r="H22" s="53" t="s">
        <v>293</v>
      </c>
    </row>
    <row r="23" spans="1:8" x14ac:dyDescent="0.25">
      <c r="A23" s="52" t="s">
        <v>107</v>
      </c>
      <c r="B23" s="52" t="s">
        <v>105</v>
      </c>
      <c r="C23" s="52" t="s">
        <v>106</v>
      </c>
      <c r="D23" s="52" t="s">
        <v>108</v>
      </c>
      <c r="E23" s="52" t="s">
        <v>451</v>
      </c>
      <c r="F23" s="52" t="s">
        <v>109</v>
      </c>
      <c r="G23" s="52" t="s">
        <v>110</v>
      </c>
      <c r="H23" s="53" t="s">
        <v>111</v>
      </c>
    </row>
    <row r="24" spans="1:8" x14ac:dyDescent="0.25">
      <c r="A24" s="52" t="s">
        <v>44</v>
      </c>
      <c r="B24" s="52" t="s">
        <v>42</v>
      </c>
      <c r="C24" s="52" t="s">
        <v>43</v>
      </c>
      <c r="D24" s="52" t="s">
        <v>45</v>
      </c>
      <c r="E24" s="52" t="s">
        <v>442</v>
      </c>
      <c r="F24" s="52" t="s">
        <v>46</v>
      </c>
      <c r="G24" s="52" t="s">
        <v>47</v>
      </c>
      <c r="H24" s="53" t="s">
        <v>48</v>
      </c>
    </row>
    <row r="25" spans="1:8" x14ac:dyDescent="0.25">
      <c r="A25" s="54" t="s">
        <v>184</v>
      </c>
      <c r="B25" s="54" t="s">
        <v>182</v>
      </c>
      <c r="C25" s="54" t="s">
        <v>183</v>
      </c>
      <c r="D25" s="54" t="s">
        <v>185</v>
      </c>
      <c r="E25" s="54" t="s">
        <v>462</v>
      </c>
      <c r="F25" s="54" t="s">
        <v>186</v>
      </c>
      <c r="G25" s="54" t="s">
        <v>187</v>
      </c>
      <c r="H25" s="55" t="s">
        <v>188</v>
      </c>
    </row>
    <row r="26" spans="1:8" x14ac:dyDescent="0.25">
      <c r="A26" s="52" t="s">
        <v>254</v>
      </c>
      <c r="B26" s="52" t="s">
        <v>252</v>
      </c>
      <c r="C26" s="52" t="s">
        <v>253</v>
      </c>
      <c r="D26" s="52" t="s">
        <v>255</v>
      </c>
      <c r="E26" s="52" t="s">
        <v>472</v>
      </c>
      <c r="F26" s="52" t="s">
        <v>256</v>
      </c>
      <c r="G26" s="52" t="s">
        <v>257</v>
      </c>
      <c r="H26" s="53" t="s">
        <v>258</v>
      </c>
    </row>
    <row r="27" spans="1:8" x14ac:dyDescent="0.25">
      <c r="A27" s="52" t="s">
        <v>345</v>
      </c>
      <c r="B27" s="52" t="s">
        <v>343</v>
      </c>
      <c r="C27" s="52" t="s">
        <v>344</v>
      </c>
      <c r="D27" s="52" t="s">
        <v>346</v>
      </c>
      <c r="E27" s="52" t="s">
        <v>485</v>
      </c>
      <c r="F27" s="52" t="s">
        <v>347</v>
      </c>
      <c r="G27" s="52" t="s">
        <v>348</v>
      </c>
      <c r="H27" s="53" t="s">
        <v>349</v>
      </c>
    </row>
    <row r="28" spans="1:8" x14ac:dyDescent="0.25">
      <c r="A28" s="52" t="s">
        <v>177</v>
      </c>
      <c r="B28" s="52" t="s">
        <v>175</v>
      </c>
      <c r="C28" s="52" t="s">
        <v>176</v>
      </c>
      <c r="D28" s="52" t="s">
        <v>178</v>
      </c>
      <c r="E28" s="52" t="s">
        <v>461</v>
      </c>
      <c r="F28" s="52" t="s">
        <v>179</v>
      </c>
      <c r="G28" s="52" t="s">
        <v>180</v>
      </c>
      <c r="H28" s="53" t="s">
        <v>181</v>
      </c>
    </row>
    <row r="29" spans="1:8" x14ac:dyDescent="0.25">
      <c r="A29" s="54" t="s">
        <v>310</v>
      </c>
      <c r="B29" s="54" t="s">
        <v>308</v>
      </c>
      <c r="C29" s="54" t="s">
        <v>309</v>
      </c>
      <c r="D29" s="54" t="s">
        <v>311</v>
      </c>
      <c r="E29" s="54" t="s">
        <v>480</v>
      </c>
      <c r="F29" s="54" t="s">
        <v>312</v>
      </c>
      <c r="G29" s="54" t="s">
        <v>313</v>
      </c>
      <c r="H29" s="55" t="s">
        <v>314</v>
      </c>
    </row>
    <row r="30" spans="1:8" x14ac:dyDescent="0.25">
      <c r="A30" s="52" t="s">
        <v>86</v>
      </c>
      <c r="B30" s="52" t="s">
        <v>84</v>
      </c>
      <c r="C30" s="52" t="s">
        <v>85</v>
      </c>
      <c r="D30" s="52" t="s">
        <v>87</v>
      </c>
      <c r="E30" s="52" t="s">
        <v>448</v>
      </c>
      <c r="F30" s="52" t="s">
        <v>88</v>
      </c>
      <c r="G30" s="52" t="s">
        <v>89</v>
      </c>
      <c r="H30" s="53" t="s">
        <v>90</v>
      </c>
    </row>
    <row r="31" spans="1:8" x14ac:dyDescent="0.25">
      <c r="A31" s="52" t="s">
        <v>359</v>
      </c>
      <c r="B31" s="52" t="s">
        <v>357</v>
      </c>
      <c r="C31" s="52" t="s">
        <v>358</v>
      </c>
      <c r="D31" s="52" t="s">
        <v>360</v>
      </c>
      <c r="E31" s="52" t="s">
        <v>487</v>
      </c>
      <c r="F31" s="52" t="s">
        <v>361</v>
      </c>
      <c r="G31" s="52" t="s">
        <v>362</v>
      </c>
      <c r="H31" s="53" t="s">
        <v>363</v>
      </c>
    </row>
    <row r="32" spans="1:8" x14ac:dyDescent="0.25">
      <c r="A32" s="52" t="s">
        <v>247</v>
      </c>
      <c r="B32" s="52" t="s">
        <v>245</v>
      </c>
      <c r="C32" s="52" t="s">
        <v>246</v>
      </c>
      <c r="D32" s="52" t="s">
        <v>248</v>
      </c>
      <c r="E32" s="52" t="s">
        <v>471</v>
      </c>
      <c r="F32" s="52" t="s">
        <v>249</v>
      </c>
      <c r="G32" s="52" t="s">
        <v>250</v>
      </c>
      <c r="H32" s="53" t="s">
        <v>251</v>
      </c>
    </row>
    <row r="33" spans="1:8" x14ac:dyDescent="0.25">
      <c r="A33" s="54" t="s">
        <v>198</v>
      </c>
      <c r="B33" s="54" t="s">
        <v>196</v>
      </c>
      <c r="C33" s="54" t="s">
        <v>197</v>
      </c>
      <c r="D33" s="54" t="s">
        <v>199</v>
      </c>
      <c r="E33" s="54" t="s">
        <v>464</v>
      </c>
      <c r="F33" s="54" t="s">
        <v>200</v>
      </c>
      <c r="G33" s="54" t="s">
        <v>201</v>
      </c>
      <c r="H33" s="55" t="s">
        <v>202</v>
      </c>
    </row>
    <row r="34" spans="1:8" x14ac:dyDescent="0.25">
      <c r="A34" s="52" t="s">
        <v>387</v>
      </c>
      <c r="B34" s="52" t="s">
        <v>385</v>
      </c>
      <c r="C34" s="52" t="s">
        <v>386</v>
      </c>
      <c r="D34" s="52" t="s">
        <v>388</v>
      </c>
      <c r="E34" s="52" t="s">
        <v>491</v>
      </c>
      <c r="F34" s="52" t="s">
        <v>389</v>
      </c>
      <c r="G34" s="52" t="s">
        <v>390</v>
      </c>
      <c r="H34" s="53" t="s">
        <v>391</v>
      </c>
    </row>
    <row r="35" spans="1:8" x14ac:dyDescent="0.25">
      <c r="A35" s="52" t="s">
        <v>261</v>
      </c>
      <c r="B35" s="52" t="s">
        <v>259</v>
      </c>
      <c r="C35" s="52" t="s">
        <v>260</v>
      </c>
      <c r="D35" s="52" t="s">
        <v>262</v>
      </c>
      <c r="E35" s="52" t="s">
        <v>473</v>
      </c>
      <c r="F35" s="52" t="s">
        <v>263</v>
      </c>
      <c r="G35" s="52" t="s">
        <v>264</v>
      </c>
      <c r="H35" s="53" t="s">
        <v>265</v>
      </c>
    </row>
    <row r="36" spans="1:8" x14ac:dyDescent="0.25">
      <c r="A36" s="52" t="s">
        <v>65</v>
      </c>
      <c r="B36" s="52" t="s">
        <v>63</v>
      </c>
      <c r="C36" s="52" t="s">
        <v>64</v>
      </c>
      <c r="D36" s="52" t="s">
        <v>66</v>
      </c>
      <c r="E36" s="52" t="s">
        <v>445</v>
      </c>
      <c r="F36" s="52" t="s">
        <v>67</v>
      </c>
      <c r="G36" s="52" t="s">
        <v>68</v>
      </c>
      <c r="H36" s="53" t="s">
        <v>69</v>
      </c>
    </row>
    <row r="37" spans="1:8" x14ac:dyDescent="0.25">
      <c r="A37" s="52" t="s">
        <v>233</v>
      </c>
      <c r="B37" s="52" t="s">
        <v>231</v>
      </c>
      <c r="C37" s="52" t="s">
        <v>232</v>
      </c>
      <c r="D37" s="52" t="s">
        <v>234</v>
      </c>
      <c r="E37" s="52" t="s">
        <v>469</v>
      </c>
      <c r="F37" s="52" t="s">
        <v>235</v>
      </c>
      <c r="G37" s="52" t="s">
        <v>236</v>
      </c>
      <c r="H37" s="53" t="s">
        <v>237</v>
      </c>
    </row>
    <row r="38" spans="1:8" x14ac:dyDescent="0.25">
      <c r="A38" s="52" t="s">
        <v>268</v>
      </c>
      <c r="B38" s="52" t="s">
        <v>266</v>
      </c>
      <c r="C38" s="52" t="s">
        <v>267</v>
      </c>
      <c r="D38" s="52" t="s">
        <v>269</v>
      </c>
      <c r="E38" s="52" t="s">
        <v>474</v>
      </c>
      <c r="F38" s="52" t="s">
        <v>270</v>
      </c>
      <c r="G38" s="52" t="s">
        <v>271</v>
      </c>
      <c r="H38" s="53" t="s">
        <v>272</v>
      </c>
    </row>
    <row r="39" spans="1:8" x14ac:dyDescent="0.25">
      <c r="A39" s="54" t="s">
        <v>408</v>
      </c>
      <c r="B39" s="54" t="s">
        <v>406</v>
      </c>
      <c r="C39" s="54" t="s">
        <v>407</v>
      </c>
      <c r="D39" s="54" t="s">
        <v>409</v>
      </c>
      <c r="E39" s="52" t="s">
        <v>494</v>
      </c>
      <c r="F39" s="54" t="s">
        <v>410</v>
      </c>
      <c r="G39" s="54" t="s">
        <v>411</v>
      </c>
      <c r="H39" s="55" t="s">
        <v>412</v>
      </c>
    </row>
    <row r="40" spans="1:8" x14ac:dyDescent="0.25">
      <c r="A40" s="52" t="s">
        <v>373</v>
      </c>
      <c r="B40" s="52" t="s">
        <v>371</v>
      </c>
      <c r="C40" s="52" t="s">
        <v>372</v>
      </c>
      <c r="D40" s="52" t="s">
        <v>374</v>
      </c>
      <c r="E40" s="52" t="s">
        <v>489</v>
      </c>
      <c r="F40" s="52" t="s">
        <v>375</v>
      </c>
      <c r="G40" s="52" t="s">
        <v>376</v>
      </c>
      <c r="H40" s="53" t="s">
        <v>377</v>
      </c>
    </row>
    <row r="41" spans="1:8" x14ac:dyDescent="0.25">
      <c r="A41" s="54" t="s">
        <v>282</v>
      </c>
      <c r="B41" s="54" t="s">
        <v>280</v>
      </c>
      <c r="C41" s="54" t="s">
        <v>281</v>
      </c>
      <c r="D41" s="54" t="s">
        <v>283</v>
      </c>
      <c r="E41" s="54" t="s">
        <v>476</v>
      </c>
      <c r="F41" s="54" t="s">
        <v>284</v>
      </c>
      <c r="G41" s="54" t="s">
        <v>285</v>
      </c>
      <c r="H41" s="55" t="s">
        <v>286</v>
      </c>
    </row>
    <row r="42" spans="1:8" x14ac:dyDescent="0.25">
      <c r="A42" s="52" t="s">
        <v>156</v>
      </c>
      <c r="B42" s="52" t="s">
        <v>154</v>
      </c>
      <c r="C42" s="52" t="s">
        <v>155</v>
      </c>
      <c r="D42" s="52" t="s">
        <v>157</v>
      </c>
      <c r="E42" s="52" t="s">
        <v>458</v>
      </c>
      <c r="F42" s="52" t="s">
        <v>158</v>
      </c>
      <c r="G42" s="52" t="s">
        <v>159</v>
      </c>
      <c r="H42" s="53" t="s">
        <v>160</v>
      </c>
    </row>
    <row r="43" spans="1:8" x14ac:dyDescent="0.25">
      <c r="A43" s="52" t="s">
        <v>51</v>
      </c>
      <c r="B43" s="52" t="s">
        <v>49</v>
      </c>
      <c r="C43" s="52" t="s">
        <v>50</v>
      </c>
      <c r="D43" s="52" t="s">
        <v>52</v>
      </c>
      <c r="E43" s="52" t="s">
        <v>443</v>
      </c>
      <c r="F43" s="52" t="s">
        <v>53</v>
      </c>
      <c r="G43" s="52" t="s">
        <v>54</v>
      </c>
      <c r="H43" s="53" t="s">
        <v>55</v>
      </c>
    </row>
    <row r="44" spans="1:8" x14ac:dyDescent="0.25">
      <c r="A44" s="52" t="s">
        <v>205</v>
      </c>
      <c r="B44" s="52" t="s">
        <v>203</v>
      </c>
      <c r="C44" s="52" t="s">
        <v>204</v>
      </c>
      <c r="D44" s="52" t="s">
        <v>206</v>
      </c>
      <c r="E44" s="52" t="s">
        <v>465</v>
      </c>
      <c r="F44" s="52" t="s">
        <v>207</v>
      </c>
      <c r="G44" s="52" t="s">
        <v>208</v>
      </c>
      <c r="H44" s="53" t="s">
        <v>209</v>
      </c>
    </row>
    <row r="45" spans="1:8" x14ac:dyDescent="0.25">
      <c r="A45" s="54" t="s">
        <v>100</v>
      </c>
      <c r="B45" s="54" t="s">
        <v>98</v>
      </c>
      <c r="C45" s="54" t="s">
        <v>99</v>
      </c>
      <c r="D45" s="54" t="s">
        <v>101</v>
      </c>
      <c r="E45" s="54" t="s">
        <v>450</v>
      </c>
      <c r="F45" s="54" t="s">
        <v>102</v>
      </c>
      <c r="G45" s="54" t="s">
        <v>103</v>
      </c>
      <c r="H45" s="55" t="s">
        <v>104</v>
      </c>
    </row>
    <row r="46" spans="1:8" x14ac:dyDescent="0.25">
      <c r="A46" s="52" t="s">
        <v>317</v>
      </c>
      <c r="B46" s="52" t="s">
        <v>315</v>
      </c>
      <c r="C46" s="52" t="s">
        <v>316</v>
      </c>
      <c r="D46" s="52" t="s">
        <v>318</v>
      </c>
      <c r="E46" s="52" t="s">
        <v>481</v>
      </c>
      <c r="F46" s="52" t="s">
        <v>319</v>
      </c>
      <c r="G46" s="52" t="s">
        <v>320</v>
      </c>
      <c r="H46" s="53" t="s">
        <v>321</v>
      </c>
    </row>
    <row r="47" spans="1:8" x14ac:dyDescent="0.25">
      <c r="A47" s="52" t="s">
        <v>401</v>
      </c>
      <c r="B47" s="52" t="s">
        <v>399</v>
      </c>
      <c r="C47" s="52" t="s">
        <v>400</v>
      </c>
      <c r="D47" s="52" t="s">
        <v>402</v>
      </c>
      <c r="E47" s="54" t="s">
        <v>493</v>
      </c>
      <c r="F47" s="52" t="s">
        <v>403</v>
      </c>
      <c r="G47" s="52" t="s">
        <v>404</v>
      </c>
      <c r="H47" s="53" t="s">
        <v>405</v>
      </c>
    </row>
    <row r="48" spans="1:8" x14ac:dyDescent="0.25">
      <c r="A48" s="52" t="s">
        <v>121</v>
      </c>
      <c r="B48" s="52" t="s">
        <v>119</v>
      </c>
      <c r="C48" s="52" t="s">
        <v>120</v>
      </c>
      <c r="D48" s="52" t="s">
        <v>122</v>
      </c>
      <c r="E48" s="52" t="s">
        <v>453</v>
      </c>
      <c r="F48" s="52" t="s">
        <v>123</v>
      </c>
      <c r="G48" s="52" t="s">
        <v>124</v>
      </c>
      <c r="H48" s="53" t="s">
        <v>125</v>
      </c>
    </row>
    <row r="49" spans="1:8" x14ac:dyDescent="0.25">
      <c r="A49" s="54" t="s">
        <v>352</v>
      </c>
      <c r="B49" s="54" t="s">
        <v>350</v>
      </c>
      <c r="C49" s="54" t="s">
        <v>351</v>
      </c>
      <c r="D49" s="54" t="s">
        <v>353</v>
      </c>
      <c r="E49" s="54" t="s">
        <v>486</v>
      </c>
      <c r="F49" s="54" t="s">
        <v>354</v>
      </c>
      <c r="G49" s="54" t="s">
        <v>355</v>
      </c>
      <c r="H49" s="55" t="s">
        <v>356</v>
      </c>
    </row>
    <row r="50" spans="1:8" x14ac:dyDescent="0.25">
      <c r="A50" s="52" t="s">
        <v>212</v>
      </c>
      <c r="B50" s="52" t="s">
        <v>210</v>
      </c>
      <c r="C50" s="52" t="s">
        <v>211</v>
      </c>
      <c r="D50" s="52" t="s">
        <v>213</v>
      </c>
      <c r="E50" s="52" t="s">
        <v>466</v>
      </c>
      <c r="F50" s="52" t="s">
        <v>214</v>
      </c>
      <c r="G50" s="52" t="s">
        <v>215</v>
      </c>
      <c r="H50" s="53" t="s">
        <v>216</v>
      </c>
    </row>
    <row r="51" spans="1:8" x14ac:dyDescent="0.25">
      <c r="A51" s="52" t="s">
        <v>163</v>
      </c>
      <c r="B51" s="52" t="s">
        <v>161</v>
      </c>
      <c r="C51" s="52" t="s">
        <v>162</v>
      </c>
      <c r="D51" s="52" t="s">
        <v>164</v>
      </c>
      <c r="E51" s="52" t="s">
        <v>459</v>
      </c>
      <c r="F51" s="52" t="s">
        <v>165</v>
      </c>
      <c r="G51" s="52" t="s">
        <v>166</v>
      </c>
      <c r="H51" s="53" t="s">
        <v>167</v>
      </c>
    </row>
    <row r="52" spans="1:8" x14ac:dyDescent="0.25">
      <c r="A52" s="52" t="s">
        <v>338</v>
      </c>
      <c r="B52" s="52" t="s">
        <v>336</v>
      </c>
      <c r="C52" s="52" t="s">
        <v>337</v>
      </c>
      <c r="D52" s="52" t="s">
        <v>339</v>
      </c>
      <c r="E52" s="52" t="s">
        <v>484</v>
      </c>
      <c r="F52" s="52" t="s">
        <v>340</v>
      </c>
      <c r="G52" s="52" t="s">
        <v>341</v>
      </c>
      <c r="H52" s="53" t="s">
        <v>342</v>
      </c>
    </row>
    <row r="53" spans="1:8" x14ac:dyDescent="0.25">
      <c r="A53" s="54" t="s">
        <v>142</v>
      </c>
      <c r="B53" s="54" t="s">
        <v>140</v>
      </c>
      <c r="C53" s="54" t="s">
        <v>141</v>
      </c>
      <c r="D53" s="54" t="s">
        <v>143</v>
      </c>
      <c r="E53" s="54" t="s">
        <v>456</v>
      </c>
      <c r="F53" s="54" t="s">
        <v>144</v>
      </c>
      <c r="G53" s="54" t="s">
        <v>145</v>
      </c>
      <c r="H53" s="55" t="s">
        <v>146</v>
      </c>
    </row>
    <row r="54" spans="1:8" x14ac:dyDescent="0.25">
      <c r="A54" s="52" t="s">
        <v>303</v>
      </c>
      <c r="B54" s="52" t="s">
        <v>301</v>
      </c>
      <c r="C54" s="52" t="s">
        <v>302</v>
      </c>
      <c r="D54" s="52" t="s">
        <v>304</v>
      </c>
      <c r="E54" s="52" t="s">
        <v>479</v>
      </c>
      <c r="F54" s="52" t="s">
        <v>305</v>
      </c>
      <c r="G54" s="52" t="s">
        <v>306</v>
      </c>
      <c r="H54" s="53" t="s">
        <v>307</v>
      </c>
    </row>
    <row r="55" spans="1:8" x14ac:dyDescent="0.25">
      <c r="A55" s="52" t="s">
        <v>275</v>
      </c>
      <c r="B55" s="52" t="s">
        <v>273</v>
      </c>
      <c r="C55" s="52" t="s">
        <v>274</v>
      </c>
      <c r="D55" s="52" t="s">
        <v>276</v>
      </c>
      <c r="E55" s="52" t="s">
        <v>475</v>
      </c>
      <c r="F55" s="52" t="s">
        <v>277</v>
      </c>
      <c r="G55" s="52" t="s">
        <v>278</v>
      </c>
      <c r="H55" s="53" t="s">
        <v>279</v>
      </c>
    </row>
    <row r="56" spans="1:8" x14ac:dyDescent="0.25">
      <c r="A56" s="52" t="s">
        <v>79</v>
      </c>
      <c r="B56" s="52" t="s">
        <v>77</v>
      </c>
      <c r="C56" s="52" t="s">
        <v>78</v>
      </c>
      <c r="D56" s="52" t="s">
        <v>80</v>
      </c>
      <c r="E56" s="52" t="s">
        <v>447</v>
      </c>
      <c r="F56" s="52" t="s">
        <v>81</v>
      </c>
      <c r="G56" s="52" t="s">
        <v>82</v>
      </c>
      <c r="H56" s="53" t="s">
        <v>83</v>
      </c>
    </row>
    <row r="57" spans="1:8" x14ac:dyDescent="0.25">
      <c r="A57" s="52" t="s">
        <v>219</v>
      </c>
      <c r="B57" s="52" t="s">
        <v>217</v>
      </c>
      <c r="C57" s="52" t="s">
        <v>218</v>
      </c>
      <c r="D57" s="52" t="s">
        <v>220</v>
      </c>
      <c r="E57" s="52" t="s">
        <v>467</v>
      </c>
      <c r="F57" s="52" t="s">
        <v>221</v>
      </c>
      <c r="G57" s="52" t="s">
        <v>222</v>
      </c>
      <c r="H57" s="53" t="s">
        <v>223</v>
      </c>
    </row>
    <row r="58" spans="1:8" x14ac:dyDescent="0.25">
      <c r="A58" s="52" t="s">
        <v>394</v>
      </c>
      <c r="B58" s="52" t="s">
        <v>392</v>
      </c>
      <c r="C58" s="52" t="s">
        <v>393</v>
      </c>
      <c r="D58" s="52" t="s">
        <v>395</v>
      </c>
      <c r="E58" s="52" t="s">
        <v>492</v>
      </c>
      <c r="F58" s="52" t="s">
        <v>396</v>
      </c>
      <c r="G58" s="52" t="s">
        <v>397</v>
      </c>
      <c r="H58" s="53" t="s">
        <v>398</v>
      </c>
    </row>
    <row r="59" spans="1:8" x14ac:dyDescent="0.25">
      <c r="A59" s="52" t="s">
        <v>191</v>
      </c>
      <c r="B59" s="52" t="s">
        <v>189</v>
      </c>
      <c r="C59" s="52" t="s">
        <v>190</v>
      </c>
      <c r="D59" s="52" t="s">
        <v>192</v>
      </c>
      <c r="E59" s="52" t="s">
        <v>463</v>
      </c>
      <c r="F59" s="52" t="s">
        <v>193</v>
      </c>
      <c r="G59" s="52" t="s">
        <v>194</v>
      </c>
      <c r="H59" s="53" t="s">
        <v>195</v>
      </c>
    </row>
    <row r="60" spans="1:8" x14ac:dyDescent="0.25">
      <c r="A60" s="56" t="s">
        <v>429</v>
      </c>
      <c r="B60" s="56" t="s">
        <v>427</v>
      </c>
      <c r="C60" s="56" t="s">
        <v>428</v>
      </c>
      <c r="D60" s="56" t="s">
        <v>430</v>
      </c>
      <c r="E60" s="87" t="s">
        <v>497</v>
      </c>
      <c r="F60" s="56" t="s">
        <v>431</v>
      </c>
      <c r="G60" s="56" t="s">
        <v>432</v>
      </c>
      <c r="H60" s="57" t="s">
        <v>433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0D0D-4B7E-4A0B-ABBB-BD66E1AAFD55}">
  <sheetPr codeName="Sheet3"/>
  <dimension ref="A1:D217"/>
  <sheetViews>
    <sheetView workbookViewId="0">
      <selection activeCell="E2" sqref="E2"/>
    </sheetView>
  </sheetViews>
  <sheetFormatPr defaultRowHeight="13.2" x14ac:dyDescent="0.25"/>
  <cols>
    <col min="1" max="1" width="42" style="92" bestFit="1" customWidth="1"/>
    <col min="2" max="2" width="13.44140625" customWidth="1"/>
    <col min="3" max="3" width="15.44140625" style="78" bestFit="1" customWidth="1"/>
  </cols>
  <sheetData>
    <row r="1" spans="1:4" ht="18" x14ac:dyDescent="0.35">
      <c r="A1" s="88" t="s">
        <v>501</v>
      </c>
      <c r="B1" s="61" t="s">
        <v>498</v>
      </c>
      <c r="C1" s="74" t="s">
        <v>921</v>
      </c>
      <c r="D1" s="2"/>
    </row>
    <row r="2" spans="1:4" x14ac:dyDescent="0.25">
      <c r="A2" s="89" t="s">
        <v>503</v>
      </c>
      <c r="B2" s="69" t="s">
        <v>502</v>
      </c>
      <c r="C2" s="75">
        <v>34.99</v>
      </c>
      <c r="D2" s="1" t="str">
        <f t="shared" ref="D2:D65" si="0">IF(LEN(A2)&gt;28, "Yess", "")</f>
        <v/>
      </c>
    </row>
    <row r="3" spans="1:4" x14ac:dyDescent="0.25">
      <c r="A3" s="90" t="s">
        <v>874</v>
      </c>
      <c r="B3" s="70" t="s">
        <v>873</v>
      </c>
      <c r="C3" s="76">
        <v>8.02</v>
      </c>
      <c r="D3" s="1" t="str">
        <f t="shared" si="0"/>
        <v/>
      </c>
    </row>
    <row r="4" spans="1:4" x14ac:dyDescent="0.25">
      <c r="A4" s="89" t="s">
        <v>880</v>
      </c>
      <c r="B4" s="69" t="s">
        <v>879</v>
      </c>
      <c r="C4" s="75">
        <v>86.49</v>
      </c>
      <c r="D4" s="1" t="str">
        <f t="shared" si="0"/>
        <v/>
      </c>
    </row>
    <row r="5" spans="1:4" x14ac:dyDescent="0.25">
      <c r="A5" s="90" t="s">
        <v>587</v>
      </c>
      <c r="B5" s="70" t="s">
        <v>586</v>
      </c>
      <c r="C5" s="76">
        <v>11.42</v>
      </c>
      <c r="D5" s="1" t="str">
        <f t="shared" si="0"/>
        <v/>
      </c>
    </row>
    <row r="6" spans="1:4" x14ac:dyDescent="0.25">
      <c r="A6" s="89" t="s">
        <v>704</v>
      </c>
      <c r="B6" s="69" t="s">
        <v>703</v>
      </c>
      <c r="C6" s="75">
        <v>7.9</v>
      </c>
      <c r="D6" s="1" t="str">
        <f t="shared" si="0"/>
        <v/>
      </c>
    </row>
    <row r="7" spans="1:4" x14ac:dyDescent="0.25">
      <c r="A7" s="90" t="s">
        <v>628</v>
      </c>
      <c r="B7" s="70" t="s">
        <v>627</v>
      </c>
      <c r="C7" s="76">
        <v>5.58</v>
      </c>
      <c r="D7" s="1" t="str">
        <f t="shared" si="0"/>
        <v/>
      </c>
    </row>
    <row r="8" spans="1:4" x14ac:dyDescent="0.25">
      <c r="A8" s="90" t="s">
        <v>721</v>
      </c>
      <c r="B8" s="70" t="s">
        <v>720</v>
      </c>
      <c r="C8" s="76">
        <v>8.99</v>
      </c>
      <c r="D8" s="1" t="str">
        <f t="shared" si="0"/>
        <v/>
      </c>
    </row>
    <row r="9" spans="1:4" x14ac:dyDescent="0.25">
      <c r="A9" s="89" t="s">
        <v>944</v>
      </c>
      <c r="B9" s="69" t="s">
        <v>780</v>
      </c>
      <c r="C9" s="75">
        <v>18.739999999999998</v>
      </c>
      <c r="D9" s="1" t="str">
        <f t="shared" si="0"/>
        <v/>
      </c>
    </row>
    <row r="10" spans="1:4" x14ac:dyDescent="0.25">
      <c r="A10" s="89" t="s">
        <v>945</v>
      </c>
      <c r="B10" s="69" t="s">
        <v>740</v>
      </c>
      <c r="C10" s="75">
        <v>51.12</v>
      </c>
      <c r="D10" s="1" t="str">
        <f t="shared" si="0"/>
        <v/>
      </c>
    </row>
    <row r="11" spans="1:4" x14ac:dyDescent="0.25">
      <c r="A11" s="90" t="s">
        <v>644</v>
      </c>
      <c r="B11" s="70" t="s">
        <v>643</v>
      </c>
      <c r="C11" s="76">
        <v>9.2200000000000006</v>
      </c>
      <c r="D11" s="1" t="str">
        <f t="shared" si="0"/>
        <v/>
      </c>
    </row>
    <row r="12" spans="1:4" x14ac:dyDescent="0.25">
      <c r="A12" s="89" t="s">
        <v>856</v>
      </c>
      <c r="B12" s="69" t="s">
        <v>855</v>
      </c>
      <c r="C12" s="75">
        <v>11.49</v>
      </c>
      <c r="D12" s="1" t="str">
        <f t="shared" si="0"/>
        <v/>
      </c>
    </row>
    <row r="13" spans="1:4" x14ac:dyDescent="0.25">
      <c r="A13" s="90" t="s">
        <v>904</v>
      </c>
      <c r="B13" s="70" t="s">
        <v>903</v>
      </c>
      <c r="C13" s="76">
        <v>34.99</v>
      </c>
      <c r="D13" s="1" t="str">
        <f t="shared" si="0"/>
        <v/>
      </c>
    </row>
    <row r="14" spans="1:4" x14ac:dyDescent="0.25">
      <c r="A14" s="90" t="s">
        <v>640</v>
      </c>
      <c r="B14" s="70" t="s">
        <v>639</v>
      </c>
      <c r="C14" s="76">
        <v>6.47</v>
      </c>
      <c r="D14" s="1" t="str">
        <f t="shared" si="0"/>
        <v/>
      </c>
    </row>
    <row r="15" spans="1:4" x14ac:dyDescent="0.25">
      <c r="A15" s="90" t="s">
        <v>636</v>
      </c>
      <c r="B15" s="70" t="s">
        <v>635</v>
      </c>
      <c r="C15" s="76">
        <v>8.5299999999999994</v>
      </c>
      <c r="D15" s="1" t="str">
        <f t="shared" si="0"/>
        <v/>
      </c>
    </row>
    <row r="16" spans="1:4" x14ac:dyDescent="0.25">
      <c r="A16" s="89" t="s">
        <v>509</v>
      </c>
      <c r="B16" s="69" t="s">
        <v>508</v>
      </c>
      <c r="C16" s="75">
        <v>12.99</v>
      </c>
      <c r="D16" s="1" t="str">
        <f t="shared" si="0"/>
        <v/>
      </c>
    </row>
    <row r="17" spans="1:4" x14ac:dyDescent="0.25">
      <c r="A17" s="89" t="s">
        <v>599</v>
      </c>
      <c r="B17" s="69" t="s">
        <v>598</v>
      </c>
      <c r="C17" s="75">
        <v>14.41</v>
      </c>
      <c r="D17" s="1" t="str">
        <f t="shared" si="0"/>
        <v/>
      </c>
    </row>
    <row r="18" spans="1:4" x14ac:dyDescent="0.25">
      <c r="A18" s="90" t="s">
        <v>595</v>
      </c>
      <c r="B18" s="70" t="s">
        <v>594</v>
      </c>
      <c r="C18" s="76">
        <v>12.29</v>
      </c>
      <c r="D18" s="1" t="str">
        <f t="shared" si="0"/>
        <v/>
      </c>
    </row>
    <row r="19" spans="1:4" x14ac:dyDescent="0.25">
      <c r="A19" s="89" t="s">
        <v>757</v>
      </c>
      <c r="B19" s="69" t="s">
        <v>756</v>
      </c>
      <c r="C19" s="75">
        <v>8.52</v>
      </c>
      <c r="D19" s="1" t="str">
        <f t="shared" si="0"/>
        <v/>
      </c>
    </row>
    <row r="20" spans="1:4" x14ac:dyDescent="0.25">
      <c r="A20" s="89" t="s">
        <v>597</v>
      </c>
      <c r="B20" s="69" t="s">
        <v>596</v>
      </c>
      <c r="C20" s="75">
        <v>9.27</v>
      </c>
      <c r="D20" s="1" t="str">
        <f t="shared" si="0"/>
        <v/>
      </c>
    </row>
    <row r="21" spans="1:4" x14ac:dyDescent="0.25">
      <c r="A21" s="89" t="s">
        <v>517</v>
      </c>
      <c r="B21" s="69" t="s">
        <v>516</v>
      </c>
      <c r="C21" s="75">
        <v>33.92</v>
      </c>
      <c r="D21" s="1" t="str">
        <f t="shared" si="0"/>
        <v/>
      </c>
    </row>
    <row r="22" spans="1:4" x14ac:dyDescent="0.25">
      <c r="A22" s="90" t="s">
        <v>819</v>
      </c>
      <c r="B22" s="70" t="s">
        <v>818</v>
      </c>
      <c r="C22" s="76">
        <v>193.68</v>
      </c>
      <c r="D22" s="1" t="str">
        <f t="shared" si="0"/>
        <v/>
      </c>
    </row>
    <row r="23" spans="1:4" x14ac:dyDescent="0.25">
      <c r="A23" s="90" t="s">
        <v>632</v>
      </c>
      <c r="B23" s="70" t="s">
        <v>631</v>
      </c>
      <c r="C23" s="76">
        <v>25.96</v>
      </c>
      <c r="D23" s="1" t="str">
        <f t="shared" si="0"/>
        <v/>
      </c>
    </row>
    <row r="24" spans="1:4" x14ac:dyDescent="0.25">
      <c r="A24" s="89" t="s">
        <v>802</v>
      </c>
      <c r="B24" s="69" t="s">
        <v>801</v>
      </c>
      <c r="C24" s="75">
        <v>23.97</v>
      </c>
      <c r="D24" s="1" t="str">
        <f t="shared" si="0"/>
        <v/>
      </c>
    </row>
    <row r="25" spans="1:4" x14ac:dyDescent="0.25">
      <c r="A25" s="89" t="s">
        <v>868</v>
      </c>
      <c r="B25" s="69" t="s">
        <v>867</v>
      </c>
      <c r="C25" s="75">
        <v>44.5</v>
      </c>
      <c r="D25" s="1" t="str">
        <f t="shared" si="0"/>
        <v/>
      </c>
    </row>
    <row r="26" spans="1:4" x14ac:dyDescent="0.25">
      <c r="A26" s="90" t="s">
        <v>661</v>
      </c>
      <c r="B26" s="70" t="s">
        <v>660</v>
      </c>
      <c r="C26" s="76">
        <v>25.95</v>
      </c>
      <c r="D26" s="1" t="str">
        <f t="shared" si="0"/>
        <v/>
      </c>
    </row>
    <row r="27" spans="1:4" x14ac:dyDescent="0.25">
      <c r="A27" s="89" t="s">
        <v>916</v>
      </c>
      <c r="B27" s="69" t="s">
        <v>915</v>
      </c>
      <c r="C27" s="75">
        <v>27.99</v>
      </c>
      <c r="D27" s="1" t="str">
        <f t="shared" si="0"/>
        <v/>
      </c>
    </row>
    <row r="28" spans="1:4" x14ac:dyDescent="0.25">
      <c r="A28" s="89" t="s">
        <v>842</v>
      </c>
      <c r="B28" s="69" t="s">
        <v>841</v>
      </c>
      <c r="C28" s="75">
        <v>17.62</v>
      </c>
      <c r="D28" s="1" t="str">
        <f t="shared" si="0"/>
        <v/>
      </c>
    </row>
    <row r="29" spans="1:4" x14ac:dyDescent="0.25">
      <c r="A29" s="89" t="s">
        <v>735</v>
      </c>
      <c r="B29" s="69" t="s">
        <v>734</v>
      </c>
      <c r="C29" s="75">
        <v>22.24</v>
      </c>
      <c r="D29" s="1" t="str">
        <f t="shared" si="0"/>
        <v/>
      </c>
    </row>
    <row r="30" spans="1:4" x14ac:dyDescent="0.25">
      <c r="A30" s="90" t="s">
        <v>731</v>
      </c>
      <c r="B30" s="70" t="s">
        <v>730</v>
      </c>
      <c r="C30" s="76">
        <v>9.99</v>
      </c>
      <c r="D30" s="1" t="str">
        <f t="shared" si="0"/>
        <v/>
      </c>
    </row>
    <row r="31" spans="1:4" x14ac:dyDescent="0.25">
      <c r="A31" s="90" t="s">
        <v>908</v>
      </c>
      <c r="B31" s="70" t="s">
        <v>907</v>
      </c>
      <c r="C31" s="76">
        <v>3.49</v>
      </c>
      <c r="D31" s="1" t="str">
        <f t="shared" si="0"/>
        <v/>
      </c>
    </row>
    <row r="32" spans="1:4" x14ac:dyDescent="0.25">
      <c r="A32" s="90" t="s">
        <v>535</v>
      </c>
      <c r="B32" s="70" t="s">
        <v>534</v>
      </c>
      <c r="C32" s="76">
        <v>12.63</v>
      </c>
      <c r="D32" s="1" t="str">
        <f t="shared" si="0"/>
        <v/>
      </c>
    </row>
    <row r="33" spans="1:4" x14ac:dyDescent="0.25">
      <c r="A33" s="90" t="s">
        <v>804</v>
      </c>
      <c r="B33" s="70" t="s">
        <v>803</v>
      </c>
      <c r="C33" s="76">
        <v>87</v>
      </c>
      <c r="D33" s="1" t="str">
        <f t="shared" si="0"/>
        <v/>
      </c>
    </row>
    <row r="34" spans="1:4" x14ac:dyDescent="0.25">
      <c r="A34" s="89" t="s">
        <v>620</v>
      </c>
      <c r="B34" s="69" t="s">
        <v>619</v>
      </c>
      <c r="C34" s="75">
        <v>186.06</v>
      </c>
      <c r="D34" s="1" t="str">
        <f t="shared" si="0"/>
        <v/>
      </c>
    </row>
    <row r="35" spans="1:4" x14ac:dyDescent="0.25">
      <c r="A35" s="89" t="s">
        <v>864</v>
      </c>
      <c r="B35" s="69" t="s">
        <v>863</v>
      </c>
      <c r="C35" s="75">
        <v>10.44</v>
      </c>
      <c r="D35" s="1" t="str">
        <f t="shared" si="0"/>
        <v/>
      </c>
    </row>
    <row r="36" spans="1:4" x14ac:dyDescent="0.25">
      <c r="A36" s="89" t="s">
        <v>747</v>
      </c>
      <c r="B36" s="69" t="s">
        <v>746</v>
      </c>
      <c r="C36" s="75">
        <v>2.88</v>
      </c>
      <c r="D36" s="1" t="str">
        <f t="shared" si="0"/>
        <v/>
      </c>
    </row>
    <row r="37" spans="1:4" x14ac:dyDescent="0.25">
      <c r="A37" s="89" t="s">
        <v>519</v>
      </c>
      <c r="B37" s="69" t="s">
        <v>518</v>
      </c>
      <c r="C37" s="75">
        <v>4.99</v>
      </c>
      <c r="D37" s="1" t="str">
        <f t="shared" si="0"/>
        <v/>
      </c>
    </row>
    <row r="38" spans="1:4" x14ac:dyDescent="0.25">
      <c r="A38" s="89" t="s">
        <v>671</v>
      </c>
      <c r="B38" s="69" t="s">
        <v>670</v>
      </c>
      <c r="C38" s="75">
        <v>6.74</v>
      </c>
      <c r="D38" s="1" t="str">
        <f t="shared" si="0"/>
        <v/>
      </c>
    </row>
    <row r="39" spans="1:4" x14ac:dyDescent="0.25">
      <c r="A39" s="90" t="s">
        <v>717</v>
      </c>
      <c r="B39" s="70" t="s">
        <v>716</v>
      </c>
      <c r="C39" s="76">
        <v>75.010000000000005</v>
      </c>
      <c r="D39" s="1" t="str">
        <f t="shared" si="0"/>
        <v/>
      </c>
    </row>
    <row r="40" spans="1:4" x14ac:dyDescent="0.25">
      <c r="A40" s="89" t="s">
        <v>707</v>
      </c>
      <c r="B40" s="69" t="s">
        <v>926</v>
      </c>
      <c r="C40" s="75">
        <v>12.47</v>
      </c>
      <c r="D40" s="1" t="str">
        <f t="shared" si="0"/>
        <v/>
      </c>
    </row>
    <row r="41" spans="1:4" x14ac:dyDescent="0.25">
      <c r="A41" s="90" t="s">
        <v>769</v>
      </c>
      <c r="B41" s="70" t="s">
        <v>768</v>
      </c>
      <c r="C41" s="76">
        <v>19.86</v>
      </c>
      <c r="D41" s="1" t="str">
        <f t="shared" si="0"/>
        <v/>
      </c>
    </row>
    <row r="42" spans="1:4" x14ac:dyDescent="0.25">
      <c r="A42" s="90" t="s">
        <v>892</v>
      </c>
      <c r="B42" s="70" t="s">
        <v>891</v>
      </c>
      <c r="C42" s="76">
        <v>13.89</v>
      </c>
      <c r="D42" s="1" t="str">
        <f t="shared" si="0"/>
        <v/>
      </c>
    </row>
    <row r="43" spans="1:4" x14ac:dyDescent="0.25">
      <c r="A43" s="89" t="s">
        <v>667</v>
      </c>
      <c r="B43" s="69" t="s">
        <v>666</v>
      </c>
      <c r="C43" s="75">
        <v>18.989999999999998</v>
      </c>
      <c r="D43" s="1" t="str">
        <f t="shared" si="0"/>
        <v/>
      </c>
    </row>
    <row r="44" spans="1:4" x14ac:dyDescent="0.25">
      <c r="A44" s="90" t="s">
        <v>673</v>
      </c>
      <c r="B44" s="70" t="s">
        <v>672</v>
      </c>
      <c r="C44" s="76">
        <v>51.39</v>
      </c>
      <c r="D44" s="1" t="str">
        <f t="shared" si="0"/>
        <v/>
      </c>
    </row>
    <row r="45" spans="1:4" x14ac:dyDescent="0.25">
      <c r="A45" s="90" t="s">
        <v>821</v>
      </c>
      <c r="B45" s="70" t="s">
        <v>820</v>
      </c>
      <c r="C45" s="76">
        <v>10.18</v>
      </c>
      <c r="D45" s="1" t="str">
        <f t="shared" si="0"/>
        <v/>
      </c>
    </row>
    <row r="46" spans="1:4" x14ac:dyDescent="0.25">
      <c r="A46" s="90" t="s">
        <v>677</v>
      </c>
      <c r="B46" s="70" t="s">
        <v>676</v>
      </c>
      <c r="C46" s="76">
        <v>39.47</v>
      </c>
      <c r="D46" s="1" t="str">
        <f t="shared" si="0"/>
        <v/>
      </c>
    </row>
    <row r="47" spans="1:4" x14ac:dyDescent="0.25">
      <c r="A47" s="89" t="s">
        <v>906</v>
      </c>
      <c r="B47" s="69" t="s">
        <v>905</v>
      </c>
      <c r="C47" s="75">
        <v>37.99</v>
      </c>
      <c r="D47" s="1" t="str">
        <f t="shared" si="0"/>
        <v/>
      </c>
    </row>
    <row r="48" spans="1:4" x14ac:dyDescent="0.25">
      <c r="A48" s="89" t="s">
        <v>614</v>
      </c>
      <c r="B48" s="69" t="s">
        <v>613</v>
      </c>
      <c r="C48" s="75">
        <v>6.99</v>
      </c>
      <c r="D48" s="1" t="str">
        <f t="shared" si="0"/>
        <v/>
      </c>
    </row>
    <row r="49" spans="1:4" x14ac:dyDescent="0.25">
      <c r="A49" s="90" t="s">
        <v>896</v>
      </c>
      <c r="B49" s="70" t="s">
        <v>895</v>
      </c>
      <c r="C49" s="76">
        <v>12.15</v>
      </c>
      <c r="D49" s="1" t="str">
        <f t="shared" si="0"/>
        <v/>
      </c>
    </row>
    <row r="50" spans="1:4" x14ac:dyDescent="0.25">
      <c r="A50" s="90" t="s">
        <v>900</v>
      </c>
      <c r="B50" s="70" t="s">
        <v>899</v>
      </c>
      <c r="C50" s="76">
        <v>6.23</v>
      </c>
      <c r="D50" s="1" t="str">
        <f t="shared" si="0"/>
        <v/>
      </c>
    </row>
    <row r="51" spans="1:4" x14ac:dyDescent="0.25">
      <c r="A51" s="89" t="s">
        <v>688</v>
      </c>
      <c r="B51" s="69" t="s">
        <v>687</v>
      </c>
      <c r="C51" s="75">
        <v>4.3499999999999996</v>
      </c>
      <c r="D51" s="1" t="str">
        <f t="shared" si="0"/>
        <v/>
      </c>
    </row>
    <row r="52" spans="1:4" x14ac:dyDescent="0.25">
      <c r="A52" s="89" t="s">
        <v>686</v>
      </c>
      <c r="B52" s="69" t="s">
        <v>685</v>
      </c>
      <c r="C52" s="75">
        <v>4.99</v>
      </c>
      <c r="D52" s="1" t="str">
        <f t="shared" si="0"/>
        <v/>
      </c>
    </row>
    <row r="53" spans="1:4" x14ac:dyDescent="0.25">
      <c r="A53" s="89" t="s">
        <v>777</v>
      </c>
      <c r="B53" s="69" t="s">
        <v>776</v>
      </c>
      <c r="C53" s="75">
        <v>10.18</v>
      </c>
      <c r="D53" s="1" t="str">
        <f t="shared" si="0"/>
        <v/>
      </c>
    </row>
    <row r="54" spans="1:4" x14ac:dyDescent="0.25">
      <c r="A54" s="90" t="s">
        <v>715</v>
      </c>
      <c r="B54" s="70" t="s">
        <v>714</v>
      </c>
      <c r="C54" s="76">
        <v>19.95</v>
      </c>
      <c r="D54" s="1" t="str">
        <f t="shared" si="0"/>
        <v/>
      </c>
    </row>
    <row r="55" spans="1:4" x14ac:dyDescent="0.25">
      <c r="A55" s="89" t="s">
        <v>589</v>
      </c>
      <c r="B55" s="69" t="s">
        <v>588</v>
      </c>
      <c r="C55" s="75">
        <v>17.75</v>
      </c>
      <c r="D55" s="1" t="str">
        <f t="shared" si="0"/>
        <v/>
      </c>
    </row>
    <row r="56" spans="1:4" x14ac:dyDescent="0.25">
      <c r="A56" s="90" t="s">
        <v>515</v>
      </c>
      <c r="B56" s="70" t="s">
        <v>514</v>
      </c>
      <c r="C56" s="76">
        <v>84.61</v>
      </c>
      <c r="D56" s="1" t="str">
        <f t="shared" si="0"/>
        <v/>
      </c>
    </row>
    <row r="57" spans="1:4" x14ac:dyDescent="0.25">
      <c r="A57" s="89" t="s">
        <v>763</v>
      </c>
      <c r="B57" s="69" t="s">
        <v>762</v>
      </c>
      <c r="C57" s="75">
        <v>6.99</v>
      </c>
      <c r="D57" s="1" t="str">
        <f t="shared" si="0"/>
        <v/>
      </c>
    </row>
    <row r="58" spans="1:4" x14ac:dyDescent="0.25">
      <c r="A58" s="90" t="s">
        <v>870</v>
      </c>
      <c r="B58" s="70" t="s">
        <v>869</v>
      </c>
      <c r="C58" s="76">
        <v>56.95</v>
      </c>
      <c r="D58" s="1" t="str">
        <f t="shared" si="0"/>
        <v/>
      </c>
    </row>
    <row r="59" spans="1:4" x14ac:dyDescent="0.25">
      <c r="A59" s="89" t="s">
        <v>850</v>
      </c>
      <c r="B59" s="69" t="s">
        <v>849</v>
      </c>
      <c r="C59" s="75">
        <v>9.99</v>
      </c>
      <c r="D59" s="1" t="str">
        <f t="shared" si="0"/>
        <v/>
      </c>
    </row>
    <row r="60" spans="1:4" x14ac:dyDescent="0.25">
      <c r="A60" s="90" t="s">
        <v>886</v>
      </c>
      <c r="B60" s="70" t="s">
        <v>885</v>
      </c>
      <c r="C60" s="76">
        <v>19.989999999999998</v>
      </c>
      <c r="D60" s="1" t="str">
        <f t="shared" si="0"/>
        <v/>
      </c>
    </row>
    <row r="61" spans="1:4" x14ac:dyDescent="0.25">
      <c r="A61" s="89" t="s">
        <v>771</v>
      </c>
      <c r="B61" s="69" t="s">
        <v>770</v>
      </c>
      <c r="C61" s="75">
        <v>4.99</v>
      </c>
      <c r="D61" s="1" t="str">
        <f t="shared" si="0"/>
        <v/>
      </c>
    </row>
    <row r="62" spans="1:4" x14ac:dyDescent="0.25">
      <c r="A62" s="89" t="s">
        <v>529</v>
      </c>
      <c r="B62" s="69" t="s">
        <v>528</v>
      </c>
      <c r="C62" s="75">
        <v>27.5</v>
      </c>
      <c r="D62" s="1" t="str">
        <f t="shared" si="0"/>
        <v/>
      </c>
    </row>
    <row r="63" spans="1:4" x14ac:dyDescent="0.25">
      <c r="A63" s="89" t="s">
        <v>553</v>
      </c>
      <c r="B63" s="69" t="s">
        <v>552</v>
      </c>
      <c r="C63" s="75">
        <v>8.44</v>
      </c>
      <c r="D63" s="1" t="str">
        <f t="shared" si="0"/>
        <v/>
      </c>
    </row>
    <row r="64" spans="1:4" x14ac:dyDescent="0.25">
      <c r="A64" s="89" t="s">
        <v>709</v>
      </c>
      <c r="B64" s="69" t="s">
        <v>708</v>
      </c>
      <c r="C64" s="75">
        <v>3.99</v>
      </c>
      <c r="D64" s="1" t="str">
        <f t="shared" si="0"/>
        <v/>
      </c>
    </row>
    <row r="65" spans="1:4" x14ac:dyDescent="0.25">
      <c r="A65" s="89" t="s">
        <v>751</v>
      </c>
      <c r="B65" s="69" t="s">
        <v>750</v>
      </c>
      <c r="C65" s="75">
        <v>3.33</v>
      </c>
      <c r="D65" s="1" t="str">
        <f t="shared" si="0"/>
        <v/>
      </c>
    </row>
    <row r="66" spans="1:4" x14ac:dyDescent="0.25">
      <c r="A66" s="90" t="s">
        <v>583</v>
      </c>
      <c r="B66" s="70" t="s">
        <v>582</v>
      </c>
      <c r="C66" s="76">
        <v>19.989999999999998</v>
      </c>
      <c r="D66" s="1" t="str">
        <f t="shared" ref="D66:D129" si="1">IF(LEN(A66)&gt;28, "Yess", "")</f>
        <v/>
      </c>
    </row>
    <row r="67" spans="1:4" x14ac:dyDescent="0.25">
      <c r="A67" s="89" t="s">
        <v>682</v>
      </c>
      <c r="B67" s="69" t="s">
        <v>681</v>
      </c>
      <c r="C67" s="75">
        <v>19.8</v>
      </c>
      <c r="D67" s="1" t="str">
        <f t="shared" si="1"/>
        <v/>
      </c>
    </row>
    <row r="68" spans="1:4" x14ac:dyDescent="0.25">
      <c r="A68" s="89" t="s">
        <v>813</v>
      </c>
      <c r="B68" s="69" t="s">
        <v>812</v>
      </c>
      <c r="C68" s="75">
        <v>5.54</v>
      </c>
      <c r="D68" s="1" t="str">
        <f t="shared" si="1"/>
        <v/>
      </c>
    </row>
    <row r="69" spans="1:4" x14ac:dyDescent="0.25">
      <c r="A69" s="89" t="s">
        <v>894</v>
      </c>
      <c r="B69" s="69" t="s">
        <v>893</v>
      </c>
      <c r="C69" s="75">
        <v>37.450000000000003</v>
      </c>
      <c r="D69" s="1" t="str">
        <f t="shared" si="1"/>
        <v/>
      </c>
    </row>
    <row r="70" spans="1:4" x14ac:dyDescent="0.25">
      <c r="A70" s="90" t="s">
        <v>882</v>
      </c>
      <c r="B70" s="70" t="s">
        <v>881</v>
      </c>
      <c r="C70" s="76">
        <v>30</v>
      </c>
      <c r="D70" s="1" t="str">
        <f t="shared" si="1"/>
        <v/>
      </c>
    </row>
    <row r="71" spans="1:4" x14ac:dyDescent="0.25">
      <c r="A71" s="90" t="s">
        <v>742</v>
      </c>
      <c r="B71" s="70" t="s">
        <v>741</v>
      </c>
      <c r="C71" s="76">
        <v>6.58</v>
      </c>
      <c r="D71" s="1" t="str">
        <f t="shared" si="1"/>
        <v/>
      </c>
    </row>
    <row r="72" spans="1:4" x14ac:dyDescent="0.25">
      <c r="A72" s="89" t="s">
        <v>711</v>
      </c>
      <c r="B72" s="69" t="s">
        <v>710</v>
      </c>
      <c r="C72" s="75">
        <v>13.87</v>
      </c>
      <c r="D72" s="1" t="str">
        <f t="shared" si="1"/>
        <v/>
      </c>
    </row>
    <row r="73" spans="1:4" x14ac:dyDescent="0.25">
      <c r="A73" s="90" t="s">
        <v>655</v>
      </c>
      <c r="B73" s="70" t="s">
        <v>654</v>
      </c>
      <c r="C73" s="76">
        <v>12.5</v>
      </c>
      <c r="D73" s="1" t="str">
        <f t="shared" si="1"/>
        <v/>
      </c>
    </row>
    <row r="74" spans="1:4" x14ac:dyDescent="0.25">
      <c r="A74" s="90" t="s">
        <v>525</v>
      </c>
      <c r="B74" s="70" t="s">
        <v>524</v>
      </c>
      <c r="C74" s="76">
        <v>117.26</v>
      </c>
      <c r="D74" s="1" t="str">
        <f t="shared" si="1"/>
        <v/>
      </c>
    </row>
    <row r="75" spans="1:4" x14ac:dyDescent="0.25">
      <c r="A75" s="90" t="s">
        <v>779</v>
      </c>
      <c r="B75" s="70" t="s">
        <v>778</v>
      </c>
      <c r="C75" s="76">
        <v>20.95</v>
      </c>
      <c r="D75" s="1" t="str">
        <f t="shared" si="1"/>
        <v/>
      </c>
    </row>
    <row r="76" spans="1:4" x14ac:dyDescent="0.25">
      <c r="A76" s="89" t="s">
        <v>830</v>
      </c>
      <c r="B76" s="69" t="s">
        <v>829</v>
      </c>
      <c r="C76" s="75">
        <v>17</v>
      </c>
      <c r="D76" s="1" t="str">
        <f t="shared" si="1"/>
        <v/>
      </c>
    </row>
    <row r="77" spans="1:4" x14ac:dyDescent="0.25">
      <c r="A77" s="89" t="s">
        <v>753</v>
      </c>
      <c r="B77" s="69" t="s">
        <v>752</v>
      </c>
      <c r="C77" s="75">
        <v>52.19</v>
      </c>
      <c r="D77" s="1" t="str">
        <f t="shared" si="1"/>
        <v/>
      </c>
    </row>
    <row r="78" spans="1:4" x14ac:dyDescent="0.25">
      <c r="A78" s="90" t="s">
        <v>784</v>
      </c>
      <c r="B78" s="70" t="s">
        <v>783</v>
      </c>
      <c r="C78" s="76">
        <v>29.99</v>
      </c>
      <c r="D78" s="1" t="str">
        <f t="shared" si="1"/>
        <v/>
      </c>
    </row>
    <row r="79" spans="1:4" x14ac:dyDescent="0.25">
      <c r="A79" s="89" t="s">
        <v>713</v>
      </c>
      <c r="B79" s="69" t="s">
        <v>712</v>
      </c>
      <c r="C79" s="75">
        <v>14.99</v>
      </c>
      <c r="D79" s="1" t="str">
        <f t="shared" si="1"/>
        <v/>
      </c>
    </row>
    <row r="80" spans="1:4" x14ac:dyDescent="0.25">
      <c r="A80" s="89" t="s">
        <v>545</v>
      </c>
      <c r="B80" s="69" t="s">
        <v>544</v>
      </c>
      <c r="C80" s="75">
        <v>6.91</v>
      </c>
      <c r="D80" s="1" t="str">
        <f t="shared" si="1"/>
        <v/>
      </c>
    </row>
    <row r="81" spans="1:4" x14ac:dyDescent="0.25">
      <c r="A81" s="89" t="s">
        <v>826</v>
      </c>
      <c r="B81" s="69" t="s">
        <v>825</v>
      </c>
      <c r="C81" s="75">
        <v>9.99</v>
      </c>
      <c r="D81" s="1" t="str">
        <f t="shared" si="1"/>
        <v/>
      </c>
    </row>
    <row r="82" spans="1:4" x14ac:dyDescent="0.25">
      <c r="A82" s="90" t="s">
        <v>832</v>
      </c>
      <c r="B82" s="70" t="s">
        <v>831</v>
      </c>
      <c r="C82" s="76">
        <v>7.77</v>
      </c>
      <c r="D82" s="1" t="str">
        <f t="shared" si="1"/>
        <v/>
      </c>
    </row>
    <row r="83" spans="1:4" x14ac:dyDescent="0.25">
      <c r="A83" s="89" t="s">
        <v>557</v>
      </c>
      <c r="B83" s="69" t="s">
        <v>556</v>
      </c>
      <c r="C83" s="75">
        <v>15.45</v>
      </c>
      <c r="D83" s="1" t="str">
        <f t="shared" si="1"/>
        <v/>
      </c>
    </row>
    <row r="84" spans="1:4" x14ac:dyDescent="0.25">
      <c r="A84" s="89" t="s">
        <v>823</v>
      </c>
      <c r="B84" s="69" t="s">
        <v>822</v>
      </c>
      <c r="C84" s="75">
        <v>6.33</v>
      </c>
      <c r="D84" s="1" t="str">
        <f t="shared" si="1"/>
        <v/>
      </c>
    </row>
    <row r="85" spans="1:4" x14ac:dyDescent="0.25">
      <c r="A85" s="89" t="s">
        <v>739</v>
      </c>
      <c r="B85" s="69" t="s">
        <v>738</v>
      </c>
      <c r="C85" s="75">
        <v>9.9499999999999993</v>
      </c>
      <c r="D85" s="1" t="str">
        <f t="shared" si="1"/>
        <v/>
      </c>
    </row>
    <row r="86" spans="1:4" x14ac:dyDescent="0.25">
      <c r="A86" s="89" t="s">
        <v>593</v>
      </c>
      <c r="B86" s="69" t="s">
        <v>592</v>
      </c>
      <c r="C86" s="75">
        <v>28.74</v>
      </c>
      <c r="D86" s="1" t="str">
        <f t="shared" si="1"/>
        <v/>
      </c>
    </row>
    <row r="87" spans="1:4" x14ac:dyDescent="0.25">
      <c r="A87" s="90" t="s">
        <v>815</v>
      </c>
      <c r="B87" s="70" t="s">
        <v>814</v>
      </c>
      <c r="C87" s="76">
        <v>16.989999999999998</v>
      </c>
      <c r="D87" s="1" t="str">
        <f t="shared" si="1"/>
        <v/>
      </c>
    </row>
    <row r="88" spans="1:4" x14ac:dyDescent="0.25">
      <c r="A88" s="89" t="s">
        <v>729</v>
      </c>
      <c r="B88" s="69" t="s">
        <v>728</v>
      </c>
      <c r="C88" s="75">
        <v>11.16</v>
      </c>
      <c r="D88" s="1" t="str">
        <f t="shared" si="1"/>
        <v/>
      </c>
    </row>
    <row r="89" spans="1:4" x14ac:dyDescent="0.25">
      <c r="A89" s="89" t="s">
        <v>638</v>
      </c>
      <c r="B89" s="69" t="s">
        <v>637</v>
      </c>
      <c r="C89" s="75">
        <v>17.57</v>
      </c>
      <c r="D89" s="1" t="str">
        <f t="shared" si="1"/>
        <v/>
      </c>
    </row>
    <row r="90" spans="1:4" x14ac:dyDescent="0.25">
      <c r="A90" s="90" t="s">
        <v>888</v>
      </c>
      <c r="B90" s="70" t="s">
        <v>887</v>
      </c>
      <c r="C90" s="76">
        <v>13.79</v>
      </c>
      <c r="D90" s="1" t="str">
        <f t="shared" si="1"/>
        <v/>
      </c>
    </row>
    <row r="91" spans="1:4" x14ac:dyDescent="0.25">
      <c r="A91" s="89" t="s">
        <v>657</v>
      </c>
      <c r="B91" s="69" t="s">
        <v>656</v>
      </c>
      <c r="C91" s="75">
        <v>105.81</v>
      </c>
      <c r="D91" s="1" t="str">
        <f t="shared" si="1"/>
        <v/>
      </c>
    </row>
    <row r="92" spans="1:4" x14ac:dyDescent="0.25">
      <c r="A92" s="89" t="s">
        <v>607</v>
      </c>
      <c r="B92" s="69" t="s">
        <v>606</v>
      </c>
      <c r="C92" s="75">
        <v>14.98</v>
      </c>
      <c r="D92" s="1" t="str">
        <f t="shared" si="1"/>
        <v/>
      </c>
    </row>
    <row r="93" spans="1:4" x14ac:dyDescent="0.25">
      <c r="A93" s="89" t="s">
        <v>809</v>
      </c>
      <c r="B93" s="69" t="s">
        <v>808</v>
      </c>
      <c r="C93" s="75">
        <v>47.99</v>
      </c>
      <c r="D93" s="1" t="str">
        <f t="shared" si="1"/>
        <v/>
      </c>
    </row>
    <row r="94" spans="1:4" x14ac:dyDescent="0.25">
      <c r="A94" s="90" t="s">
        <v>650</v>
      </c>
      <c r="B94" s="70" t="s">
        <v>649</v>
      </c>
      <c r="C94" s="76">
        <v>30.82</v>
      </c>
      <c r="D94" s="1" t="str">
        <f t="shared" si="1"/>
        <v/>
      </c>
    </row>
    <row r="95" spans="1:4" x14ac:dyDescent="0.25">
      <c r="A95" s="90" t="s">
        <v>616</v>
      </c>
      <c r="B95" s="70" t="s">
        <v>615</v>
      </c>
      <c r="C95" s="76">
        <v>14.01</v>
      </c>
      <c r="D95" s="1" t="str">
        <f t="shared" si="1"/>
        <v/>
      </c>
    </row>
    <row r="96" spans="1:4" x14ac:dyDescent="0.25">
      <c r="A96" s="90" t="s">
        <v>866</v>
      </c>
      <c r="B96" s="70" t="s">
        <v>865</v>
      </c>
      <c r="C96" s="76">
        <v>11.99</v>
      </c>
      <c r="D96" s="1" t="str">
        <f t="shared" si="1"/>
        <v/>
      </c>
    </row>
    <row r="97" spans="1:4" x14ac:dyDescent="0.25">
      <c r="A97" s="90" t="s">
        <v>675</v>
      </c>
      <c r="B97" s="70" t="s">
        <v>674</v>
      </c>
      <c r="C97" s="76">
        <v>43.48</v>
      </c>
      <c r="D97" s="1" t="str">
        <f t="shared" si="1"/>
        <v/>
      </c>
    </row>
    <row r="98" spans="1:4" x14ac:dyDescent="0.25">
      <c r="A98" s="90" t="s">
        <v>669</v>
      </c>
      <c r="B98" s="70" t="s">
        <v>668</v>
      </c>
      <c r="C98" s="76">
        <v>8.99</v>
      </c>
      <c r="D98" s="1" t="str">
        <f t="shared" si="1"/>
        <v/>
      </c>
    </row>
    <row r="99" spans="1:4" x14ac:dyDescent="0.25">
      <c r="A99" s="90" t="s">
        <v>807</v>
      </c>
      <c r="B99" s="70" t="s">
        <v>806</v>
      </c>
      <c r="C99" s="76">
        <v>14.99</v>
      </c>
      <c r="D99" s="1" t="str">
        <f t="shared" si="1"/>
        <v/>
      </c>
    </row>
    <row r="100" spans="1:4" x14ac:dyDescent="0.25">
      <c r="A100" s="90" t="s">
        <v>575</v>
      </c>
      <c r="B100" s="70" t="s">
        <v>574</v>
      </c>
      <c r="C100" s="76">
        <v>19.98</v>
      </c>
      <c r="D100" s="1" t="str">
        <f t="shared" si="1"/>
        <v/>
      </c>
    </row>
    <row r="101" spans="1:4" x14ac:dyDescent="0.25">
      <c r="A101" s="90" t="s">
        <v>794</v>
      </c>
      <c r="B101" s="70" t="s">
        <v>793</v>
      </c>
      <c r="C101" s="76">
        <v>50</v>
      </c>
      <c r="D101" s="1" t="str">
        <f t="shared" si="1"/>
        <v/>
      </c>
    </row>
    <row r="102" spans="1:4" x14ac:dyDescent="0.25">
      <c r="A102" s="90" t="s">
        <v>539</v>
      </c>
      <c r="B102" s="70" t="s">
        <v>538</v>
      </c>
      <c r="C102" s="76">
        <v>74.989999999999995</v>
      </c>
      <c r="D102" s="1" t="str">
        <f t="shared" si="1"/>
        <v/>
      </c>
    </row>
    <row r="103" spans="1:4" x14ac:dyDescent="0.25">
      <c r="A103" s="90" t="s">
        <v>796</v>
      </c>
      <c r="B103" s="70" t="s">
        <v>795</v>
      </c>
      <c r="C103" s="76">
        <v>9.02</v>
      </c>
      <c r="D103" s="1" t="str">
        <f t="shared" si="1"/>
        <v/>
      </c>
    </row>
    <row r="104" spans="1:4" x14ac:dyDescent="0.25">
      <c r="A104" s="89" t="s">
        <v>702</v>
      </c>
      <c r="B104" s="69" t="s">
        <v>701</v>
      </c>
      <c r="C104" s="75">
        <v>14.99</v>
      </c>
      <c r="D104" s="1" t="str">
        <f t="shared" si="1"/>
        <v/>
      </c>
    </row>
    <row r="105" spans="1:4" x14ac:dyDescent="0.25">
      <c r="A105" s="90" t="s">
        <v>699</v>
      </c>
      <c r="B105" s="70" t="s">
        <v>698</v>
      </c>
      <c r="C105" s="76">
        <v>16.95</v>
      </c>
      <c r="D105" s="1" t="str">
        <f t="shared" si="1"/>
        <v/>
      </c>
    </row>
    <row r="106" spans="1:4" x14ac:dyDescent="0.25">
      <c r="A106" s="89" t="s">
        <v>547</v>
      </c>
      <c r="B106" s="69" t="s">
        <v>546</v>
      </c>
      <c r="C106" s="75">
        <v>36.369999999999997</v>
      </c>
      <c r="D106" s="1" t="str">
        <f t="shared" si="1"/>
        <v/>
      </c>
    </row>
    <row r="107" spans="1:4" x14ac:dyDescent="0.25">
      <c r="A107" s="89" t="s">
        <v>652</v>
      </c>
      <c r="B107" s="69" t="s">
        <v>651</v>
      </c>
      <c r="C107" s="75">
        <v>19.989999999999998</v>
      </c>
      <c r="D107" s="1" t="str">
        <f t="shared" si="1"/>
        <v/>
      </c>
    </row>
    <row r="108" spans="1:4" x14ac:dyDescent="0.25">
      <c r="A108" s="89" t="s">
        <v>634</v>
      </c>
      <c r="B108" s="69" t="s">
        <v>633</v>
      </c>
      <c r="C108" s="75">
        <v>15.39</v>
      </c>
      <c r="D108" s="1" t="str">
        <f t="shared" si="1"/>
        <v/>
      </c>
    </row>
    <row r="109" spans="1:4" x14ac:dyDescent="0.25">
      <c r="A109" s="89" t="s">
        <v>824</v>
      </c>
      <c r="B109" s="69" t="s">
        <v>930</v>
      </c>
      <c r="C109" s="75">
        <v>89.98</v>
      </c>
      <c r="D109" s="1" t="str">
        <f t="shared" si="1"/>
        <v/>
      </c>
    </row>
    <row r="110" spans="1:4" x14ac:dyDescent="0.25">
      <c r="A110" s="90" t="s">
        <v>828</v>
      </c>
      <c r="B110" s="70" t="s">
        <v>827</v>
      </c>
      <c r="C110" s="76">
        <v>28.97</v>
      </c>
      <c r="D110" s="1" t="str">
        <f t="shared" si="1"/>
        <v/>
      </c>
    </row>
    <row r="111" spans="1:4" x14ac:dyDescent="0.25">
      <c r="A111" s="89" t="s">
        <v>648</v>
      </c>
      <c r="B111" s="69" t="s">
        <v>647</v>
      </c>
      <c r="C111" s="75">
        <v>19.989999999999998</v>
      </c>
      <c r="D111" s="1" t="str">
        <f t="shared" si="1"/>
        <v/>
      </c>
    </row>
    <row r="112" spans="1:4" x14ac:dyDescent="0.25">
      <c r="A112" s="90" t="s">
        <v>559</v>
      </c>
      <c r="B112" s="70" t="s">
        <v>558</v>
      </c>
      <c r="C112" s="76">
        <v>16.010000000000002</v>
      </c>
      <c r="D112" s="1" t="str">
        <f t="shared" si="1"/>
        <v/>
      </c>
    </row>
    <row r="113" spans="1:4" x14ac:dyDescent="0.25">
      <c r="A113" s="89" t="s">
        <v>569</v>
      </c>
      <c r="B113" s="69" t="s">
        <v>568</v>
      </c>
      <c r="C113" s="75">
        <v>19.5</v>
      </c>
      <c r="D113" s="1" t="str">
        <f t="shared" si="1"/>
        <v/>
      </c>
    </row>
    <row r="114" spans="1:4" x14ac:dyDescent="0.25">
      <c r="A114" s="89" t="s">
        <v>626</v>
      </c>
      <c r="B114" s="69" t="s">
        <v>625</v>
      </c>
      <c r="C114" s="75">
        <v>23.74</v>
      </c>
      <c r="D114" s="1" t="str">
        <f t="shared" si="1"/>
        <v/>
      </c>
    </row>
    <row r="115" spans="1:4" x14ac:dyDescent="0.25">
      <c r="A115" s="89" t="s">
        <v>642</v>
      </c>
      <c r="B115" s="69" t="s">
        <v>641</v>
      </c>
      <c r="C115" s="75">
        <v>19.989999999999998</v>
      </c>
      <c r="D115" s="1" t="str">
        <f t="shared" si="1"/>
        <v/>
      </c>
    </row>
    <row r="116" spans="1:4" x14ac:dyDescent="0.25">
      <c r="A116" s="90" t="s">
        <v>692</v>
      </c>
      <c r="B116" s="70" t="s">
        <v>691</v>
      </c>
      <c r="C116" s="76">
        <v>28.82</v>
      </c>
      <c r="D116" s="1" t="str">
        <f t="shared" si="1"/>
        <v/>
      </c>
    </row>
    <row r="117" spans="1:4" x14ac:dyDescent="0.25">
      <c r="A117" s="89" t="s">
        <v>884</v>
      </c>
      <c r="B117" s="69" t="s">
        <v>883</v>
      </c>
      <c r="C117" s="75">
        <v>26.99</v>
      </c>
      <c r="D117" s="1" t="str">
        <f t="shared" si="1"/>
        <v/>
      </c>
    </row>
    <row r="118" spans="1:4" x14ac:dyDescent="0.25">
      <c r="A118" s="89" t="s">
        <v>743</v>
      </c>
      <c r="B118" s="69" t="s">
        <v>927</v>
      </c>
      <c r="C118" s="75">
        <v>21.99</v>
      </c>
      <c r="D118" s="1" t="str">
        <f t="shared" si="1"/>
        <v/>
      </c>
    </row>
    <row r="119" spans="1:4" x14ac:dyDescent="0.25">
      <c r="A119" s="90" t="s">
        <v>563</v>
      </c>
      <c r="B119" s="70" t="s">
        <v>562</v>
      </c>
      <c r="C119" s="76">
        <v>11.99</v>
      </c>
      <c r="D119" s="1" t="str">
        <f t="shared" si="1"/>
        <v/>
      </c>
    </row>
    <row r="120" spans="1:4" x14ac:dyDescent="0.25">
      <c r="A120" s="90" t="s">
        <v>622</v>
      </c>
      <c r="B120" s="70" t="s">
        <v>621</v>
      </c>
      <c r="C120" s="76">
        <v>129.94999999999999</v>
      </c>
      <c r="D120" s="1" t="str">
        <f t="shared" si="1"/>
        <v/>
      </c>
    </row>
    <row r="121" spans="1:4" x14ac:dyDescent="0.25">
      <c r="A121" s="90" t="s">
        <v>943</v>
      </c>
      <c r="B121" s="70" t="s">
        <v>693</v>
      </c>
      <c r="C121" s="76">
        <v>9.99</v>
      </c>
      <c r="D121" s="1" t="str">
        <f t="shared" si="1"/>
        <v/>
      </c>
    </row>
    <row r="122" spans="1:4" x14ac:dyDescent="0.25">
      <c r="A122" s="90" t="s">
        <v>579</v>
      </c>
      <c r="B122" s="70" t="s">
        <v>578</v>
      </c>
      <c r="C122" s="76">
        <v>24.99</v>
      </c>
      <c r="D122" s="1" t="str">
        <f t="shared" si="1"/>
        <v/>
      </c>
    </row>
    <row r="123" spans="1:4" x14ac:dyDescent="0.25">
      <c r="A123" s="90" t="s">
        <v>695</v>
      </c>
      <c r="B123" s="70" t="s">
        <v>694</v>
      </c>
      <c r="C123" s="76">
        <v>6.99</v>
      </c>
      <c r="D123" s="1" t="str">
        <f t="shared" si="1"/>
        <v/>
      </c>
    </row>
    <row r="124" spans="1:4" x14ac:dyDescent="0.25">
      <c r="A124" s="90" t="s">
        <v>787</v>
      </c>
      <c r="B124" s="70" t="s">
        <v>786</v>
      </c>
      <c r="C124" s="76">
        <v>8.92</v>
      </c>
      <c r="D124" s="1" t="str">
        <f t="shared" si="1"/>
        <v/>
      </c>
    </row>
    <row r="125" spans="1:4" x14ac:dyDescent="0.25">
      <c r="A125" s="89" t="s">
        <v>565</v>
      </c>
      <c r="B125" s="69" t="s">
        <v>564</v>
      </c>
      <c r="C125" s="75">
        <v>11.12</v>
      </c>
      <c r="D125" s="1" t="str">
        <f t="shared" si="1"/>
        <v/>
      </c>
    </row>
    <row r="126" spans="1:4" x14ac:dyDescent="0.25">
      <c r="A126" s="89" t="s">
        <v>565</v>
      </c>
      <c r="B126" s="69" t="s">
        <v>785</v>
      </c>
      <c r="C126" s="75">
        <v>14.99</v>
      </c>
      <c r="D126" s="1" t="str">
        <f t="shared" si="1"/>
        <v/>
      </c>
    </row>
    <row r="127" spans="1:4" x14ac:dyDescent="0.25">
      <c r="A127" s="89" t="s">
        <v>630</v>
      </c>
      <c r="B127" s="69" t="s">
        <v>629</v>
      </c>
      <c r="C127" s="75">
        <v>12.99</v>
      </c>
      <c r="D127" s="1" t="str">
        <f t="shared" si="1"/>
        <v/>
      </c>
    </row>
    <row r="128" spans="1:4" x14ac:dyDescent="0.25">
      <c r="A128" s="90" t="s">
        <v>862</v>
      </c>
      <c r="B128" s="70" t="s">
        <v>861</v>
      </c>
      <c r="C128" s="76">
        <v>143.99</v>
      </c>
      <c r="D128" s="1" t="str">
        <f t="shared" si="1"/>
        <v/>
      </c>
    </row>
    <row r="129" spans="1:4" x14ac:dyDescent="0.25">
      <c r="A129" s="90" t="s">
        <v>914</v>
      </c>
      <c r="B129" s="70" t="s">
        <v>913</v>
      </c>
      <c r="C129" s="76">
        <v>44.32</v>
      </c>
      <c r="D129" s="1" t="str">
        <f t="shared" si="1"/>
        <v/>
      </c>
    </row>
    <row r="130" spans="1:4" x14ac:dyDescent="0.25">
      <c r="A130" s="89" t="s">
        <v>898</v>
      </c>
      <c r="B130" s="69" t="s">
        <v>897</v>
      </c>
      <c r="C130" s="75">
        <v>16.82</v>
      </c>
      <c r="D130" s="1" t="str">
        <f t="shared" ref="D130:D193" si="2">IF(LEN(A130)&gt;28, "Yess", "")</f>
        <v/>
      </c>
    </row>
    <row r="131" spans="1:4" x14ac:dyDescent="0.25">
      <c r="A131" s="90" t="s">
        <v>844</v>
      </c>
      <c r="B131" s="70" t="s">
        <v>843</v>
      </c>
      <c r="C131" s="76">
        <v>188.47</v>
      </c>
      <c r="D131" s="1" t="str">
        <f t="shared" si="2"/>
        <v/>
      </c>
    </row>
    <row r="132" spans="1:4" x14ac:dyDescent="0.25">
      <c r="A132" s="89" t="s">
        <v>610</v>
      </c>
      <c r="B132" s="69" t="s">
        <v>609</v>
      </c>
      <c r="C132" s="75">
        <v>18.93</v>
      </c>
      <c r="D132" s="1" t="str">
        <f t="shared" si="2"/>
        <v/>
      </c>
    </row>
    <row r="133" spans="1:4" x14ac:dyDescent="0.25">
      <c r="A133" s="89" t="s">
        <v>601</v>
      </c>
      <c r="B133" s="69" t="s">
        <v>600</v>
      </c>
      <c r="C133" s="75">
        <v>34.49</v>
      </c>
      <c r="D133" s="1" t="str">
        <f t="shared" si="2"/>
        <v/>
      </c>
    </row>
    <row r="134" spans="1:4" x14ac:dyDescent="0.25">
      <c r="A134" s="89" t="s">
        <v>513</v>
      </c>
      <c r="B134" s="69" t="s">
        <v>512</v>
      </c>
      <c r="C134" s="75">
        <v>18.16</v>
      </c>
      <c r="D134" s="1" t="str">
        <f t="shared" si="2"/>
        <v/>
      </c>
    </row>
    <row r="135" spans="1:4" x14ac:dyDescent="0.25">
      <c r="A135" s="90" t="s">
        <v>800</v>
      </c>
      <c r="B135" s="70" t="s">
        <v>799</v>
      </c>
      <c r="C135" s="76">
        <v>8.99</v>
      </c>
      <c r="D135" s="1" t="str">
        <f t="shared" si="2"/>
        <v/>
      </c>
    </row>
    <row r="136" spans="1:4" x14ac:dyDescent="0.25">
      <c r="A136" s="89" t="s">
        <v>846</v>
      </c>
      <c r="B136" s="69" t="s">
        <v>845</v>
      </c>
      <c r="C136" s="75">
        <v>13.46</v>
      </c>
      <c r="D136" s="1" t="str">
        <f t="shared" si="2"/>
        <v/>
      </c>
    </row>
    <row r="137" spans="1:4" x14ac:dyDescent="0.25">
      <c r="A137" s="90" t="s">
        <v>918</v>
      </c>
      <c r="B137" s="70" t="s">
        <v>917</v>
      </c>
      <c r="C137" s="76">
        <v>10.49</v>
      </c>
      <c r="D137" s="1" t="str">
        <f t="shared" si="2"/>
        <v/>
      </c>
    </row>
    <row r="138" spans="1:4" x14ac:dyDescent="0.25">
      <c r="A138" s="90" t="s">
        <v>663</v>
      </c>
      <c r="B138" s="70" t="s">
        <v>662</v>
      </c>
      <c r="C138" s="76">
        <v>36.909999999999997</v>
      </c>
      <c r="D138" s="1" t="str">
        <f t="shared" si="2"/>
        <v/>
      </c>
    </row>
    <row r="139" spans="1:4" x14ac:dyDescent="0.25">
      <c r="A139" s="89" t="s">
        <v>624</v>
      </c>
      <c r="B139" s="69" t="s">
        <v>623</v>
      </c>
      <c r="C139" s="75">
        <v>10.49</v>
      </c>
      <c r="D139" s="1" t="str">
        <f t="shared" si="2"/>
        <v/>
      </c>
    </row>
    <row r="140" spans="1:4" x14ac:dyDescent="0.25">
      <c r="A140" s="90" t="s">
        <v>605</v>
      </c>
      <c r="B140" s="70" t="s">
        <v>604</v>
      </c>
      <c r="C140" s="76">
        <v>46.99</v>
      </c>
      <c r="D140" s="1" t="str">
        <f t="shared" si="2"/>
        <v/>
      </c>
    </row>
    <row r="141" spans="1:4" x14ac:dyDescent="0.25">
      <c r="A141" s="89" t="s">
        <v>719</v>
      </c>
      <c r="B141" s="69" t="s">
        <v>718</v>
      </c>
      <c r="C141" s="75">
        <v>23.74</v>
      </c>
      <c r="D141" s="1" t="str">
        <f t="shared" si="2"/>
        <v/>
      </c>
    </row>
    <row r="142" spans="1:4" x14ac:dyDescent="0.25">
      <c r="A142" s="90" t="s">
        <v>765</v>
      </c>
      <c r="B142" s="70" t="s">
        <v>764</v>
      </c>
      <c r="C142" s="76">
        <v>23.4</v>
      </c>
      <c r="D142" s="1" t="str">
        <f t="shared" si="2"/>
        <v/>
      </c>
    </row>
    <row r="143" spans="1:4" x14ac:dyDescent="0.25">
      <c r="A143" s="89" t="s">
        <v>541</v>
      </c>
      <c r="B143" s="69" t="s">
        <v>540</v>
      </c>
      <c r="C143" s="75">
        <v>26.99</v>
      </c>
      <c r="D143" s="1" t="str">
        <f t="shared" si="2"/>
        <v/>
      </c>
    </row>
    <row r="144" spans="1:4" x14ac:dyDescent="0.25">
      <c r="A144" s="90" t="s">
        <v>706</v>
      </c>
      <c r="B144" s="70" t="s">
        <v>705</v>
      </c>
      <c r="C144" s="76">
        <v>9.9499999999999993</v>
      </c>
      <c r="D144" s="1" t="str">
        <f t="shared" si="2"/>
        <v/>
      </c>
    </row>
    <row r="145" spans="1:4" x14ac:dyDescent="0.25">
      <c r="A145" s="89" t="s">
        <v>543</v>
      </c>
      <c r="B145" s="69" t="s">
        <v>542</v>
      </c>
      <c r="C145" s="75">
        <v>18.7</v>
      </c>
      <c r="D145" s="1" t="str">
        <f t="shared" si="2"/>
        <v/>
      </c>
    </row>
    <row r="146" spans="1:4" x14ac:dyDescent="0.25">
      <c r="A146" s="90" t="s">
        <v>684</v>
      </c>
      <c r="B146" s="70" t="s">
        <v>683</v>
      </c>
      <c r="C146" s="76">
        <v>9.6</v>
      </c>
      <c r="D146" s="1" t="str">
        <f t="shared" si="2"/>
        <v/>
      </c>
    </row>
    <row r="147" spans="1:4" x14ac:dyDescent="0.25">
      <c r="A147" s="90" t="s">
        <v>561</v>
      </c>
      <c r="B147" s="70" t="s">
        <v>560</v>
      </c>
      <c r="C147" s="76">
        <v>37.979999999999997</v>
      </c>
      <c r="D147" s="1" t="str">
        <f t="shared" si="2"/>
        <v/>
      </c>
    </row>
    <row r="148" spans="1:4" x14ac:dyDescent="0.25">
      <c r="A148" s="89" t="s">
        <v>761</v>
      </c>
      <c r="B148" s="69" t="s">
        <v>760</v>
      </c>
      <c r="C148" s="75">
        <v>8.2899999999999991</v>
      </c>
      <c r="D148" s="1" t="str">
        <f t="shared" si="2"/>
        <v/>
      </c>
    </row>
    <row r="149" spans="1:4" x14ac:dyDescent="0.25">
      <c r="A149" s="89" t="s">
        <v>585</v>
      </c>
      <c r="B149" s="69" t="s">
        <v>584</v>
      </c>
      <c r="C149" s="75">
        <v>14.99</v>
      </c>
      <c r="D149" s="1" t="str">
        <f t="shared" si="2"/>
        <v/>
      </c>
    </row>
    <row r="150" spans="1:4" x14ac:dyDescent="0.25">
      <c r="A150" s="89" t="s">
        <v>537</v>
      </c>
      <c r="B150" s="69" t="s">
        <v>536</v>
      </c>
      <c r="C150" s="75">
        <v>11.88</v>
      </c>
      <c r="D150" s="1" t="str">
        <f t="shared" si="2"/>
        <v/>
      </c>
    </row>
    <row r="151" spans="1:4" x14ac:dyDescent="0.25">
      <c r="A151" s="90" t="s">
        <v>749</v>
      </c>
      <c r="B151" s="70" t="s">
        <v>748</v>
      </c>
      <c r="C151" s="76">
        <v>5.43</v>
      </c>
      <c r="D151" s="1" t="str">
        <f t="shared" si="2"/>
        <v/>
      </c>
    </row>
    <row r="152" spans="1:4" x14ac:dyDescent="0.25">
      <c r="A152" s="90" t="s">
        <v>653</v>
      </c>
      <c r="B152" s="72" t="s">
        <v>924</v>
      </c>
      <c r="C152" s="76">
        <v>13.71</v>
      </c>
      <c r="D152" s="1" t="str">
        <f t="shared" si="2"/>
        <v/>
      </c>
    </row>
    <row r="153" spans="1:4" x14ac:dyDescent="0.25">
      <c r="A153" s="89" t="s">
        <v>733</v>
      </c>
      <c r="B153" s="69" t="s">
        <v>732</v>
      </c>
      <c r="C153" s="75">
        <v>39.99</v>
      </c>
      <c r="D153" s="1" t="str">
        <f t="shared" si="2"/>
        <v/>
      </c>
    </row>
    <row r="154" spans="1:4" x14ac:dyDescent="0.25">
      <c r="A154" s="89" t="s">
        <v>533</v>
      </c>
      <c r="B154" s="69" t="s">
        <v>532</v>
      </c>
      <c r="C154" s="75">
        <v>159.99</v>
      </c>
      <c r="D154" s="1" t="str">
        <f t="shared" si="2"/>
        <v/>
      </c>
    </row>
    <row r="155" spans="1:4" x14ac:dyDescent="0.25">
      <c r="A155" s="90" t="s">
        <v>858</v>
      </c>
      <c r="B155" s="70" t="s">
        <v>857</v>
      </c>
      <c r="C155" s="76">
        <v>8.99</v>
      </c>
      <c r="D155" s="1" t="str">
        <f t="shared" si="2"/>
        <v/>
      </c>
    </row>
    <row r="156" spans="1:4" x14ac:dyDescent="0.25">
      <c r="A156" s="89" t="s">
        <v>697</v>
      </c>
      <c r="B156" s="69" t="s">
        <v>696</v>
      </c>
      <c r="C156" s="75">
        <v>10.4</v>
      </c>
      <c r="D156" s="1" t="str">
        <f t="shared" si="2"/>
        <v/>
      </c>
    </row>
    <row r="157" spans="1:4" x14ac:dyDescent="0.25">
      <c r="A157" s="89" t="s">
        <v>854</v>
      </c>
      <c r="B157" s="71" t="s">
        <v>853</v>
      </c>
      <c r="C157" s="75">
        <v>33.99</v>
      </c>
      <c r="D157" s="1" t="str">
        <f t="shared" si="2"/>
        <v/>
      </c>
    </row>
    <row r="158" spans="1:4" x14ac:dyDescent="0.25">
      <c r="A158" s="90" t="s">
        <v>511</v>
      </c>
      <c r="B158" s="70" t="s">
        <v>510</v>
      </c>
      <c r="C158" s="76">
        <v>38.49</v>
      </c>
      <c r="D158" s="1" t="str">
        <f t="shared" si="2"/>
        <v/>
      </c>
    </row>
    <row r="159" spans="1:4" x14ac:dyDescent="0.25">
      <c r="A159" s="90" t="s">
        <v>555</v>
      </c>
      <c r="B159" s="70" t="s">
        <v>554</v>
      </c>
      <c r="C159" s="76">
        <v>6.94</v>
      </c>
      <c r="D159" s="1" t="str">
        <f t="shared" si="2"/>
        <v/>
      </c>
    </row>
    <row r="160" spans="1:4" x14ac:dyDescent="0.25">
      <c r="A160" s="89" t="s">
        <v>890</v>
      </c>
      <c r="B160" s="69" t="s">
        <v>889</v>
      </c>
      <c r="C160" s="75">
        <v>62.93</v>
      </c>
      <c r="D160" s="1" t="str">
        <f t="shared" si="2"/>
        <v/>
      </c>
    </row>
    <row r="161" spans="1:4" x14ac:dyDescent="0.25">
      <c r="A161" s="90" t="s">
        <v>878</v>
      </c>
      <c r="B161" s="70" t="s">
        <v>877</v>
      </c>
      <c r="C161" s="76">
        <v>16</v>
      </c>
      <c r="D161" s="1" t="str">
        <f t="shared" si="2"/>
        <v/>
      </c>
    </row>
    <row r="162" spans="1:4" x14ac:dyDescent="0.25">
      <c r="A162" s="89" t="s">
        <v>790</v>
      </c>
      <c r="B162" s="69" t="s">
        <v>789</v>
      </c>
      <c r="C162" s="75">
        <v>10.33</v>
      </c>
      <c r="D162" s="1" t="str">
        <f t="shared" si="2"/>
        <v/>
      </c>
    </row>
    <row r="163" spans="1:4" x14ac:dyDescent="0.25">
      <c r="A163" s="90" t="s">
        <v>755</v>
      </c>
      <c r="B163" s="70" t="s">
        <v>754</v>
      </c>
      <c r="C163" s="76">
        <v>3.9</v>
      </c>
      <c r="D163" s="1" t="str">
        <f t="shared" si="2"/>
        <v/>
      </c>
    </row>
    <row r="164" spans="1:4" x14ac:dyDescent="0.25">
      <c r="A164" s="90" t="s">
        <v>603</v>
      </c>
      <c r="B164" s="70" t="s">
        <v>602</v>
      </c>
      <c r="C164" s="76">
        <v>30.36</v>
      </c>
      <c r="D164" s="1" t="str">
        <f t="shared" si="2"/>
        <v/>
      </c>
    </row>
    <row r="165" spans="1:4" x14ac:dyDescent="0.25">
      <c r="A165" s="90" t="s">
        <v>737</v>
      </c>
      <c r="B165" s="70" t="s">
        <v>736</v>
      </c>
      <c r="C165" s="76">
        <v>12.97</v>
      </c>
      <c r="D165" s="1" t="str">
        <f t="shared" si="2"/>
        <v/>
      </c>
    </row>
    <row r="166" spans="1:4" x14ac:dyDescent="0.25">
      <c r="A166" s="90" t="s">
        <v>608</v>
      </c>
      <c r="B166" s="70" t="s">
        <v>931</v>
      </c>
      <c r="C166" s="76">
        <v>12.99</v>
      </c>
      <c r="D166" s="1" t="str">
        <f t="shared" si="2"/>
        <v/>
      </c>
    </row>
    <row r="167" spans="1:4" x14ac:dyDescent="0.25">
      <c r="A167" s="90" t="s">
        <v>591</v>
      </c>
      <c r="B167" s="70" t="s">
        <v>590</v>
      </c>
      <c r="C167" s="76">
        <v>14.73</v>
      </c>
      <c r="D167" s="1" t="str">
        <f t="shared" si="2"/>
        <v/>
      </c>
    </row>
    <row r="168" spans="1:4" x14ac:dyDescent="0.25">
      <c r="A168" s="89" t="s">
        <v>773</v>
      </c>
      <c r="B168" s="69" t="s">
        <v>772</v>
      </c>
      <c r="C168" s="75">
        <v>37.770000000000003</v>
      </c>
      <c r="D168" s="1" t="str">
        <f t="shared" si="2"/>
        <v/>
      </c>
    </row>
    <row r="169" spans="1:4" x14ac:dyDescent="0.25">
      <c r="A169" s="90" t="s">
        <v>745</v>
      </c>
      <c r="B169" s="70" t="s">
        <v>744</v>
      </c>
      <c r="C169" s="76">
        <v>19.920000000000002</v>
      </c>
      <c r="D169" s="1" t="str">
        <f t="shared" si="2"/>
        <v/>
      </c>
    </row>
    <row r="170" spans="1:4" x14ac:dyDescent="0.25">
      <c r="A170" s="90" t="s">
        <v>759</v>
      </c>
      <c r="B170" s="70" t="s">
        <v>758</v>
      </c>
      <c r="C170" s="76">
        <v>7.73</v>
      </c>
      <c r="D170" s="1" t="str">
        <f t="shared" si="2"/>
        <v/>
      </c>
    </row>
    <row r="171" spans="1:4" x14ac:dyDescent="0.25">
      <c r="A171" s="89" t="s">
        <v>805</v>
      </c>
      <c r="B171" s="69" t="s">
        <v>929</v>
      </c>
      <c r="C171" s="75">
        <v>8</v>
      </c>
      <c r="D171" s="1" t="str">
        <f t="shared" si="2"/>
        <v/>
      </c>
    </row>
    <row r="172" spans="1:4" x14ac:dyDescent="0.25">
      <c r="A172" s="90" t="s">
        <v>912</v>
      </c>
      <c r="B172" s="70" t="s">
        <v>911</v>
      </c>
      <c r="C172" s="76">
        <v>19.989999999999998</v>
      </c>
      <c r="D172" s="1" t="str">
        <f t="shared" si="2"/>
        <v/>
      </c>
    </row>
    <row r="173" spans="1:4" x14ac:dyDescent="0.25">
      <c r="A173" s="89" t="s">
        <v>527</v>
      </c>
      <c r="B173" s="69" t="s">
        <v>526</v>
      </c>
      <c r="C173" s="75">
        <v>9.39</v>
      </c>
      <c r="D173" s="1" t="str">
        <f t="shared" si="2"/>
        <v/>
      </c>
    </row>
    <row r="174" spans="1:4" x14ac:dyDescent="0.25">
      <c r="A174" s="90" t="s">
        <v>581</v>
      </c>
      <c r="B174" s="70" t="s">
        <v>580</v>
      </c>
      <c r="C174" s="76">
        <v>16.43</v>
      </c>
      <c r="D174" s="1" t="str">
        <f t="shared" si="2"/>
        <v/>
      </c>
    </row>
    <row r="175" spans="1:4" x14ac:dyDescent="0.25">
      <c r="A175" s="89" t="s">
        <v>727</v>
      </c>
      <c r="B175" s="69" t="s">
        <v>726</v>
      </c>
      <c r="C175" s="75">
        <v>13.99</v>
      </c>
      <c r="D175" s="1" t="str">
        <f t="shared" si="2"/>
        <v/>
      </c>
    </row>
    <row r="176" spans="1:4" x14ac:dyDescent="0.25">
      <c r="A176" s="90" t="s">
        <v>725</v>
      </c>
      <c r="B176" s="70" t="s">
        <v>724</v>
      </c>
      <c r="C176" s="76">
        <v>33.67</v>
      </c>
      <c r="D176" s="1" t="str">
        <f t="shared" si="2"/>
        <v/>
      </c>
    </row>
    <row r="177" spans="1:4" x14ac:dyDescent="0.25">
      <c r="A177" s="90" t="s">
        <v>665</v>
      </c>
      <c r="B177" s="70" t="s">
        <v>664</v>
      </c>
      <c r="C177" s="76">
        <v>15.98</v>
      </c>
      <c r="D177" s="1" t="str">
        <f t="shared" si="2"/>
        <v/>
      </c>
    </row>
    <row r="178" spans="1:4" x14ac:dyDescent="0.25">
      <c r="A178" s="90" t="s">
        <v>723</v>
      </c>
      <c r="B178" s="70" t="s">
        <v>722</v>
      </c>
      <c r="C178" s="76">
        <v>67.95</v>
      </c>
      <c r="D178" s="1" t="str">
        <f t="shared" si="2"/>
        <v/>
      </c>
    </row>
    <row r="179" spans="1:4" x14ac:dyDescent="0.25">
      <c r="A179" s="89" t="s">
        <v>767</v>
      </c>
      <c r="B179" s="69" t="s">
        <v>766</v>
      </c>
      <c r="C179" s="75">
        <v>12.88</v>
      </c>
      <c r="D179" s="1" t="str">
        <f t="shared" si="2"/>
        <v/>
      </c>
    </row>
    <row r="180" spans="1:4" x14ac:dyDescent="0.25">
      <c r="A180" s="89" t="s">
        <v>872</v>
      </c>
      <c r="B180" s="69" t="s">
        <v>871</v>
      </c>
      <c r="C180" s="75">
        <v>52.44</v>
      </c>
      <c r="D180" s="1" t="str">
        <f t="shared" si="2"/>
        <v/>
      </c>
    </row>
    <row r="181" spans="1:4" x14ac:dyDescent="0.25">
      <c r="A181" s="90" t="s">
        <v>792</v>
      </c>
      <c r="B181" s="70" t="s">
        <v>791</v>
      </c>
      <c r="C181" s="76">
        <v>14.2</v>
      </c>
      <c r="D181" s="1" t="str">
        <f t="shared" si="2"/>
        <v/>
      </c>
    </row>
    <row r="182" spans="1:4" x14ac:dyDescent="0.25">
      <c r="A182" s="90" t="s">
        <v>836</v>
      </c>
      <c r="B182" s="70" t="s">
        <v>835</v>
      </c>
      <c r="C182" s="76">
        <v>199.99</v>
      </c>
      <c r="D182" s="1" t="str">
        <f t="shared" si="2"/>
        <v/>
      </c>
    </row>
    <row r="183" spans="1:4" x14ac:dyDescent="0.25">
      <c r="A183" s="90" t="s">
        <v>549</v>
      </c>
      <c r="B183" s="70" t="s">
        <v>548</v>
      </c>
      <c r="C183" s="76">
        <v>60.87</v>
      </c>
      <c r="D183" s="1" t="str">
        <f t="shared" si="2"/>
        <v/>
      </c>
    </row>
    <row r="184" spans="1:4" x14ac:dyDescent="0.25">
      <c r="A184" s="90" t="s">
        <v>817</v>
      </c>
      <c r="B184" s="70" t="s">
        <v>816</v>
      </c>
      <c r="C184" s="76">
        <v>182</v>
      </c>
      <c r="D184" s="1" t="str">
        <f t="shared" si="2"/>
        <v/>
      </c>
    </row>
    <row r="185" spans="1:4" x14ac:dyDescent="0.25">
      <c r="A185" s="90" t="s">
        <v>531</v>
      </c>
      <c r="B185" s="70" t="s">
        <v>530</v>
      </c>
      <c r="C185" s="76">
        <v>10.99</v>
      </c>
      <c r="D185" s="1" t="str">
        <f t="shared" si="2"/>
        <v/>
      </c>
    </row>
    <row r="186" spans="1:4" x14ac:dyDescent="0.25">
      <c r="A186" s="90" t="s">
        <v>507</v>
      </c>
      <c r="B186" s="70" t="s">
        <v>506</v>
      </c>
      <c r="C186" s="76">
        <v>18.66</v>
      </c>
      <c r="D186" s="1" t="str">
        <f t="shared" si="2"/>
        <v/>
      </c>
    </row>
    <row r="187" spans="1:4" x14ac:dyDescent="0.25">
      <c r="A187" s="90" t="s">
        <v>645</v>
      </c>
      <c r="B187" s="70" t="s">
        <v>922</v>
      </c>
      <c r="C187" s="76">
        <v>107.86</v>
      </c>
      <c r="D187" s="1" t="str">
        <f t="shared" si="2"/>
        <v/>
      </c>
    </row>
    <row r="188" spans="1:4" x14ac:dyDescent="0.25">
      <c r="A188" s="89" t="s">
        <v>523</v>
      </c>
      <c r="B188" s="69" t="s">
        <v>522</v>
      </c>
      <c r="C188" s="75">
        <v>12.88</v>
      </c>
      <c r="D188" s="1" t="str">
        <f t="shared" si="2"/>
        <v/>
      </c>
    </row>
    <row r="189" spans="1:4" x14ac:dyDescent="0.25">
      <c r="A189" s="90" t="s">
        <v>612</v>
      </c>
      <c r="B189" s="70" t="s">
        <v>611</v>
      </c>
      <c r="C189" s="76">
        <v>29.99</v>
      </c>
      <c r="D189" s="1" t="str">
        <f t="shared" si="2"/>
        <v/>
      </c>
    </row>
    <row r="190" spans="1:4" x14ac:dyDescent="0.25">
      <c r="A190" s="89" t="s">
        <v>646</v>
      </c>
      <c r="B190" s="71" t="s">
        <v>923</v>
      </c>
      <c r="C190" s="75">
        <v>22</v>
      </c>
      <c r="D190" s="1" t="str">
        <f t="shared" si="2"/>
        <v/>
      </c>
    </row>
    <row r="191" spans="1:4" x14ac:dyDescent="0.25">
      <c r="A191" s="90" t="s">
        <v>521</v>
      </c>
      <c r="B191" s="70" t="s">
        <v>520</v>
      </c>
      <c r="C191" s="76">
        <v>34.39</v>
      </c>
      <c r="D191" s="1" t="str">
        <f t="shared" si="2"/>
        <v/>
      </c>
    </row>
    <row r="192" spans="1:4" x14ac:dyDescent="0.25">
      <c r="A192" s="89" t="s">
        <v>678</v>
      </c>
      <c r="B192" s="69" t="s">
        <v>932</v>
      </c>
      <c r="C192" s="75">
        <v>16.82</v>
      </c>
      <c r="D192" s="1" t="str">
        <f t="shared" si="2"/>
        <v/>
      </c>
    </row>
    <row r="193" spans="1:4" x14ac:dyDescent="0.25">
      <c r="A193" s="89" t="s">
        <v>782</v>
      </c>
      <c r="B193" s="69" t="s">
        <v>781</v>
      </c>
      <c r="C193" s="75">
        <v>14.99</v>
      </c>
      <c r="D193" s="1" t="str">
        <f t="shared" si="2"/>
        <v/>
      </c>
    </row>
    <row r="194" spans="1:4" x14ac:dyDescent="0.25">
      <c r="A194" s="89" t="s">
        <v>910</v>
      </c>
      <c r="B194" s="69" t="s">
        <v>909</v>
      </c>
      <c r="C194" s="75">
        <v>20.18</v>
      </c>
      <c r="D194" s="1" t="str">
        <f t="shared" ref="D194:D217" si="3">IF(LEN(A194)&gt;28, "Yess", "")</f>
        <v/>
      </c>
    </row>
    <row r="195" spans="1:4" x14ac:dyDescent="0.25">
      <c r="A195" s="89" t="s">
        <v>573</v>
      </c>
      <c r="B195" s="69" t="s">
        <v>572</v>
      </c>
      <c r="C195" s="75">
        <v>6.11</v>
      </c>
      <c r="D195" s="1" t="str">
        <f t="shared" si="3"/>
        <v/>
      </c>
    </row>
    <row r="196" spans="1:4" x14ac:dyDescent="0.25">
      <c r="A196" s="90" t="s">
        <v>659</v>
      </c>
      <c r="B196" s="70" t="s">
        <v>658</v>
      </c>
      <c r="C196" s="76">
        <v>74.959999999999994</v>
      </c>
      <c r="D196" s="1" t="str">
        <f t="shared" si="3"/>
        <v/>
      </c>
    </row>
    <row r="197" spans="1:4" x14ac:dyDescent="0.25">
      <c r="A197" s="89" t="s">
        <v>902</v>
      </c>
      <c r="B197" s="69" t="s">
        <v>901</v>
      </c>
      <c r="C197" s="75">
        <v>11.12</v>
      </c>
      <c r="D197" s="1" t="str">
        <f t="shared" si="3"/>
        <v/>
      </c>
    </row>
    <row r="198" spans="1:4" x14ac:dyDescent="0.25">
      <c r="A198" s="89" t="s">
        <v>571</v>
      </c>
      <c r="B198" s="69" t="s">
        <v>570</v>
      </c>
      <c r="C198" s="75">
        <v>3.06</v>
      </c>
      <c r="D198" s="1" t="str">
        <f t="shared" si="3"/>
        <v/>
      </c>
    </row>
    <row r="199" spans="1:4" x14ac:dyDescent="0.25">
      <c r="A199" s="90" t="s">
        <v>700</v>
      </c>
      <c r="B199" s="70" t="s">
        <v>925</v>
      </c>
      <c r="C199" s="76">
        <v>42.99</v>
      </c>
      <c r="D199" s="1" t="str">
        <f t="shared" si="3"/>
        <v/>
      </c>
    </row>
    <row r="200" spans="1:4" x14ac:dyDescent="0.25">
      <c r="A200" s="89" t="s">
        <v>838</v>
      </c>
      <c r="B200" s="69" t="s">
        <v>837</v>
      </c>
      <c r="C200" s="75">
        <v>14.99</v>
      </c>
      <c r="D200" s="1" t="str">
        <f t="shared" si="3"/>
        <v/>
      </c>
    </row>
    <row r="201" spans="1:4" x14ac:dyDescent="0.25">
      <c r="A201" s="90" t="s">
        <v>775</v>
      </c>
      <c r="B201" s="70" t="s">
        <v>774</v>
      </c>
      <c r="C201" s="76">
        <v>9.9600000000000009</v>
      </c>
      <c r="D201" s="1" t="str">
        <f t="shared" si="3"/>
        <v/>
      </c>
    </row>
    <row r="202" spans="1:4" x14ac:dyDescent="0.25">
      <c r="A202" s="90" t="s">
        <v>567</v>
      </c>
      <c r="B202" s="70" t="s">
        <v>566</v>
      </c>
      <c r="C202" s="76">
        <v>7.99</v>
      </c>
      <c r="D202" s="1" t="str">
        <f t="shared" si="3"/>
        <v/>
      </c>
    </row>
    <row r="203" spans="1:4" x14ac:dyDescent="0.25">
      <c r="A203" s="90" t="s">
        <v>551</v>
      </c>
      <c r="B203" s="70" t="s">
        <v>550</v>
      </c>
      <c r="C203" s="76">
        <v>73.58</v>
      </c>
      <c r="D203" s="1" t="str">
        <f t="shared" si="3"/>
        <v/>
      </c>
    </row>
    <row r="204" spans="1:4" x14ac:dyDescent="0.25">
      <c r="A204" s="90" t="s">
        <v>788</v>
      </c>
      <c r="B204" s="70" t="s">
        <v>928</v>
      </c>
      <c r="C204" s="76">
        <v>14.99</v>
      </c>
      <c r="D204" s="1" t="str">
        <f t="shared" si="3"/>
        <v/>
      </c>
    </row>
    <row r="205" spans="1:4" x14ac:dyDescent="0.25">
      <c r="A205" s="89" t="s">
        <v>690</v>
      </c>
      <c r="B205" s="69" t="s">
        <v>689</v>
      </c>
      <c r="C205" s="75">
        <v>16.22</v>
      </c>
      <c r="D205" s="1" t="str">
        <f t="shared" si="3"/>
        <v/>
      </c>
    </row>
    <row r="206" spans="1:4" x14ac:dyDescent="0.25">
      <c r="A206" s="89" t="s">
        <v>577</v>
      </c>
      <c r="B206" s="69" t="s">
        <v>576</v>
      </c>
      <c r="C206" s="75">
        <v>7.99</v>
      </c>
      <c r="D206" s="1" t="str">
        <f t="shared" si="3"/>
        <v/>
      </c>
    </row>
    <row r="207" spans="1:4" x14ac:dyDescent="0.25">
      <c r="A207" s="90" t="s">
        <v>852</v>
      </c>
      <c r="B207" s="70" t="s">
        <v>851</v>
      </c>
      <c r="C207" s="76">
        <v>9.99</v>
      </c>
      <c r="D207" s="1" t="str">
        <f t="shared" si="3"/>
        <v/>
      </c>
    </row>
    <row r="208" spans="1:4" x14ac:dyDescent="0.25">
      <c r="A208" s="89" t="s">
        <v>618</v>
      </c>
      <c r="B208" s="69" t="s">
        <v>617</v>
      </c>
      <c r="C208" s="75">
        <v>12.99</v>
      </c>
      <c r="D208" s="1" t="str">
        <f t="shared" si="3"/>
        <v/>
      </c>
    </row>
    <row r="209" spans="1:4" x14ac:dyDescent="0.25">
      <c r="A209" s="90" t="s">
        <v>811</v>
      </c>
      <c r="B209" s="70" t="s">
        <v>810</v>
      </c>
      <c r="C209" s="76">
        <v>14.4</v>
      </c>
      <c r="D209" s="1" t="str">
        <f t="shared" si="3"/>
        <v/>
      </c>
    </row>
    <row r="210" spans="1:4" x14ac:dyDescent="0.25">
      <c r="A210" s="90" t="s">
        <v>840</v>
      </c>
      <c r="B210" s="70" t="s">
        <v>839</v>
      </c>
      <c r="C210" s="76">
        <v>25.89</v>
      </c>
      <c r="D210" s="1" t="str">
        <f t="shared" si="3"/>
        <v/>
      </c>
    </row>
    <row r="211" spans="1:4" x14ac:dyDescent="0.25">
      <c r="A211" s="89" t="s">
        <v>860</v>
      </c>
      <c r="B211" s="69" t="s">
        <v>859</v>
      </c>
      <c r="C211" s="75">
        <v>4.72</v>
      </c>
      <c r="D211" s="1" t="str">
        <f t="shared" si="3"/>
        <v/>
      </c>
    </row>
    <row r="212" spans="1:4" x14ac:dyDescent="0.25">
      <c r="A212" s="89" t="s">
        <v>876</v>
      </c>
      <c r="B212" s="69" t="s">
        <v>875</v>
      </c>
      <c r="C212" s="75">
        <v>8.0299999999999994</v>
      </c>
      <c r="D212" s="1" t="str">
        <f t="shared" si="3"/>
        <v/>
      </c>
    </row>
    <row r="213" spans="1:4" x14ac:dyDescent="0.25">
      <c r="A213" s="89" t="s">
        <v>505</v>
      </c>
      <c r="B213" s="69" t="s">
        <v>504</v>
      </c>
      <c r="C213" s="75">
        <v>17.489999999999998</v>
      </c>
      <c r="D213" s="1" t="str">
        <f t="shared" si="3"/>
        <v/>
      </c>
    </row>
    <row r="214" spans="1:4" x14ac:dyDescent="0.25">
      <c r="A214" s="90" t="s">
        <v>680</v>
      </c>
      <c r="B214" s="70" t="s">
        <v>679</v>
      </c>
      <c r="C214" s="76">
        <v>25.99</v>
      </c>
      <c r="D214" s="1" t="str">
        <f t="shared" si="3"/>
        <v/>
      </c>
    </row>
    <row r="215" spans="1:4" x14ac:dyDescent="0.25">
      <c r="A215" s="90" t="s">
        <v>848</v>
      </c>
      <c r="B215" s="70" t="s">
        <v>847</v>
      </c>
      <c r="C215" s="76">
        <v>15.86</v>
      </c>
      <c r="D215" s="1" t="str">
        <f t="shared" si="3"/>
        <v/>
      </c>
    </row>
    <row r="216" spans="1:4" x14ac:dyDescent="0.25">
      <c r="A216" s="89" t="s">
        <v>798</v>
      </c>
      <c r="B216" s="69" t="s">
        <v>797</v>
      </c>
      <c r="C216" s="75">
        <v>39.99</v>
      </c>
      <c r="D216" s="1" t="str">
        <f t="shared" si="3"/>
        <v/>
      </c>
    </row>
    <row r="217" spans="1:4" x14ac:dyDescent="0.25">
      <c r="A217" s="91" t="s">
        <v>834</v>
      </c>
      <c r="B217" s="73" t="s">
        <v>833</v>
      </c>
      <c r="C217" s="77">
        <v>32.840000000000003</v>
      </c>
      <c r="D217" s="1" t="str">
        <f t="shared" si="3"/>
        <v/>
      </c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Invoice Tracker</vt:lpstr>
      <vt:lpstr>Client List</vt:lpstr>
      <vt:lpstr>Product List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Shravan k</dc:creator>
  <cp:lastModifiedBy>Shravan k</cp:lastModifiedBy>
  <cp:lastPrinted>2024-07-25T03:30:22Z</cp:lastPrinted>
  <dcterms:created xsi:type="dcterms:W3CDTF">2024-07-22T11:37:12Z</dcterms:created>
  <dcterms:modified xsi:type="dcterms:W3CDTF">2024-08-08T03:36:08Z</dcterms:modified>
</cp:coreProperties>
</file>